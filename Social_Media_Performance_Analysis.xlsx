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  <sheet name="Top &amp; Bottom Posts" sheetId="3" state="visible" r:id="rId5"/>
    <sheet name="Insights &amp; Recs" sheetId="4" state="visible" r:id="rId6"/>
  </sheets>
  <definedNames>
    <definedName function="false" hidden="true" localSheetId="0" name="_xlnm._FilterDatabase" vbProcedure="false">'Raw Data'!$A$1:$R$41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Total Engagement = Likes + Comments + Shares + Saves</t>
        </r>
      </text>
    </comment>
    <comment ref="P1" authorId="0">
      <text>
        <r>
          <rPr>
            <sz val="10"/>
            <rFont val="Arial"/>
            <family val="2"/>
          </rPr>
          <t xml:space="preserve">Engagement Rate = Total Engagement / Reach</t>
        </r>
      </text>
    </comment>
    <comment ref="Q1" authorId="0">
      <text>
        <r>
          <rPr>
            <sz val="10"/>
            <rFont val="Arial"/>
            <family val="2"/>
          </rPr>
          <t xml:space="preserve">CTR = Clicks / Impressions</t>
        </r>
      </text>
    </comment>
  </commentList>
</comments>
</file>

<file path=xl/sharedStrings.xml><?xml version="1.0" encoding="utf-8"?>
<sst xmlns="http://schemas.openxmlformats.org/spreadsheetml/2006/main" count="403" uniqueCount="168">
  <si>
    <t xml:space="preserve">Post_ID</t>
  </si>
  <si>
    <t xml:space="preserve">Date</t>
  </si>
  <si>
    <t xml:space="preserve">Day</t>
  </si>
  <si>
    <t xml:space="preserve">Platform</t>
  </si>
  <si>
    <t xml:space="preserve">Post_Type</t>
  </si>
  <si>
    <t xml:space="preserve">Topic</t>
  </si>
  <si>
    <t xml:space="preserve">Time_Slot</t>
  </si>
  <si>
    <t xml:space="preserve">Reach</t>
  </si>
  <si>
    <t xml:space="preserve">Impressions</t>
  </si>
  <si>
    <t xml:space="preserve">Likes</t>
  </si>
  <si>
    <t xml:space="preserve">Comments</t>
  </si>
  <si>
    <t xml:space="preserve">Shares</t>
  </si>
  <si>
    <t xml:space="preserve">Saves</t>
  </si>
  <si>
    <t xml:space="preserve">Clicks</t>
  </si>
  <si>
    <t xml:space="preserve">Total_Engagement</t>
  </si>
  <si>
    <t xml:space="preserve">Engagement_Rate</t>
  </si>
  <si>
    <t xml:space="preserve">CTR</t>
  </si>
  <si>
    <t xml:space="preserve">ER_Rank</t>
  </si>
  <si>
    <t xml:space="preserve">P001</t>
  </si>
  <si>
    <t xml:space="preserve">2026-07-03</t>
  </si>
  <si>
    <t xml:space="preserve">Friday</t>
  </si>
  <si>
    <t xml:space="preserve">Twitter/X</t>
  </si>
  <si>
    <t xml:space="preserve">Reel/Video</t>
  </si>
  <si>
    <t xml:space="preserve">Product Launch</t>
  </si>
  <si>
    <t xml:space="preserve">Evening (6-9 PM)</t>
  </si>
  <si>
    <t xml:space="preserve">P002</t>
  </si>
  <si>
    <t xml:space="preserve">2026-07-05</t>
  </si>
  <si>
    <t xml:space="preserve">Sunday</t>
  </si>
  <si>
    <t xml:space="preserve">LinkedIn</t>
  </si>
  <si>
    <t xml:space="preserve">Meme/Trend</t>
  </si>
  <si>
    <t xml:space="preserve">Morning (9-11 AM)</t>
  </si>
  <si>
    <t xml:space="preserve">P003</t>
  </si>
  <si>
    <t xml:space="preserve">2026-07-07</t>
  </si>
  <si>
    <t xml:space="preserve">Tuesday</t>
  </si>
  <si>
    <t xml:space="preserve">Facebook</t>
  </si>
  <si>
    <t xml:space="preserve">Carousel</t>
  </si>
  <si>
    <t xml:space="preserve">Afternoon (1-3 PM)</t>
  </si>
  <si>
    <t xml:space="preserve">P004</t>
  </si>
  <si>
    <t xml:space="preserve">2026-07-09</t>
  </si>
  <si>
    <t xml:space="preserve">Thursday</t>
  </si>
  <si>
    <t xml:space="preserve">Instagram</t>
  </si>
  <si>
    <t xml:space="preserve">P005</t>
  </si>
  <si>
    <t xml:space="preserve">2026-07-12</t>
  </si>
  <si>
    <t xml:space="preserve">Festival Greeting</t>
  </si>
  <si>
    <t xml:space="preserve">P006</t>
  </si>
  <si>
    <t xml:space="preserve">2026-07-14</t>
  </si>
  <si>
    <t xml:space="preserve">Text</t>
  </si>
  <si>
    <t xml:space="preserve">Tips &amp; Tutorial</t>
  </si>
  <si>
    <t xml:space="preserve">P007</t>
  </si>
  <si>
    <t xml:space="preserve">2026-07-16</t>
  </si>
  <si>
    <t xml:space="preserve">P008</t>
  </si>
  <si>
    <t xml:space="preserve">2026-07-18</t>
  </si>
  <si>
    <t xml:space="preserve">Saturday</t>
  </si>
  <si>
    <t xml:space="preserve">Offer/Discount</t>
  </si>
  <si>
    <t xml:space="preserve">Night (10 PM-12 AM)</t>
  </si>
  <si>
    <t xml:space="preserve">P009</t>
  </si>
  <si>
    <t xml:space="preserve">2026-07-20</t>
  </si>
  <si>
    <t xml:space="preserve">Monday</t>
  </si>
  <si>
    <t xml:space="preserve">Image</t>
  </si>
  <si>
    <t xml:space="preserve">P010</t>
  </si>
  <si>
    <t xml:space="preserve">2026-07-23</t>
  </si>
  <si>
    <t xml:space="preserve">P011</t>
  </si>
  <si>
    <t xml:space="preserve">2026-07-25</t>
  </si>
  <si>
    <t xml:space="preserve">Customer Story</t>
  </si>
  <si>
    <t xml:space="preserve">P012</t>
  </si>
  <si>
    <t xml:space="preserve">2026-07-27</t>
  </si>
  <si>
    <t xml:space="preserve">P013</t>
  </si>
  <si>
    <t xml:space="preserve">2026-07-29</t>
  </si>
  <si>
    <t xml:space="preserve">Wednesday</t>
  </si>
  <si>
    <t xml:space="preserve">P014</t>
  </si>
  <si>
    <t xml:space="preserve">2026-07-31</t>
  </si>
  <si>
    <t xml:space="preserve">P015</t>
  </si>
  <si>
    <t xml:space="preserve">2026-08-03</t>
  </si>
  <si>
    <t xml:space="preserve">P016</t>
  </si>
  <si>
    <t xml:space="preserve">2026-08-05</t>
  </si>
  <si>
    <t xml:space="preserve">Behind the Scenes</t>
  </si>
  <si>
    <t xml:space="preserve">P017</t>
  </si>
  <si>
    <t xml:space="preserve">2026-08-07</t>
  </si>
  <si>
    <t xml:space="preserve">P018</t>
  </si>
  <si>
    <t xml:space="preserve">2026-08-09</t>
  </si>
  <si>
    <t xml:space="preserve">Industry News</t>
  </si>
  <si>
    <t xml:space="preserve">P019</t>
  </si>
  <si>
    <t xml:space="preserve">2026-08-11</t>
  </si>
  <si>
    <t xml:space="preserve">P020</t>
  </si>
  <si>
    <t xml:space="preserve">2026-08-14</t>
  </si>
  <si>
    <t xml:space="preserve">P021</t>
  </si>
  <si>
    <t xml:space="preserve">2026-08-16</t>
  </si>
  <si>
    <t xml:space="preserve">P022</t>
  </si>
  <si>
    <t xml:space="preserve">2026-08-18</t>
  </si>
  <si>
    <t xml:space="preserve">P023</t>
  </si>
  <si>
    <t xml:space="preserve">2026-08-20</t>
  </si>
  <si>
    <t xml:space="preserve">P024</t>
  </si>
  <si>
    <t xml:space="preserve">2026-08-22</t>
  </si>
  <si>
    <t xml:space="preserve">P025</t>
  </si>
  <si>
    <t xml:space="preserve">2026-08-25</t>
  </si>
  <si>
    <t xml:space="preserve">P026</t>
  </si>
  <si>
    <t xml:space="preserve">2026-08-27</t>
  </si>
  <si>
    <t xml:space="preserve">P027</t>
  </si>
  <si>
    <t xml:space="preserve">2026-08-29</t>
  </si>
  <si>
    <t xml:space="preserve">P028</t>
  </si>
  <si>
    <t xml:space="preserve">2026-08-31</t>
  </si>
  <si>
    <t xml:space="preserve">P029</t>
  </si>
  <si>
    <t xml:space="preserve">2026-09-02</t>
  </si>
  <si>
    <t xml:space="preserve">P030</t>
  </si>
  <si>
    <t xml:space="preserve">2026-09-05</t>
  </si>
  <si>
    <t xml:space="preserve">P031</t>
  </si>
  <si>
    <t xml:space="preserve">2026-09-07</t>
  </si>
  <si>
    <t xml:space="preserve">P032</t>
  </si>
  <si>
    <t xml:space="preserve">2026-09-09</t>
  </si>
  <si>
    <t xml:space="preserve">P033</t>
  </si>
  <si>
    <t xml:space="preserve">2026-09-11</t>
  </si>
  <si>
    <t xml:space="preserve">P034</t>
  </si>
  <si>
    <t xml:space="preserve">2026-09-13</t>
  </si>
  <si>
    <t xml:space="preserve">P035</t>
  </si>
  <si>
    <t xml:space="preserve">2026-09-16</t>
  </si>
  <si>
    <t xml:space="preserve">P036</t>
  </si>
  <si>
    <t xml:space="preserve">2026-09-18</t>
  </si>
  <si>
    <t xml:space="preserve">P037</t>
  </si>
  <si>
    <t xml:space="preserve">2026-09-20</t>
  </si>
  <si>
    <t xml:space="preserve">P038</t>
  </si>
  <si>
    <t xml:space="preserve">2026-09-22</t>
  </si>
  <si>
    <t xml:space="preserve">P039</t>
  </si>
  <si>
    <t xml:space="preserve">2026-09-24</t>
  </si>
  <si>
    <t xml:space="preserve">P040</t>
  </si>
  <si>
    <t xml:space="preserve">2026-09-27</t>
  </si>
  <si>
    <t xml:space="preserve">Note: Blue numbers = sample input data (synthetic dataset created for this exercise). Black = formulas.</t>
  </si>
  <si>
    <t xml:space="preserve">Social Media Performance Summary (Jul–Sep 2026, 40 posts)</t>
  </si>
  <si>
    <t xml:space="preserve">KPI</t>
  </si>
  <si>
    <t xml:space="preserve">Value</t>
  </si>
  <si>
    <t xml:space="preserve">Total Posts</t>
  </si>
  <si>
    <t xml:space="preserve">Total Reach</t>
  </si>
  <si>
    <t xml:space="preserve">Total Impressions</t>
  </si>
  <si>
    <t xml:space="preserve">Total Engagement</t>
  </si>
  <si>
    <t xml:space="preserve">Total Clicks</t>
  </si>
  <si>
    <t xml:space="preserve">Avg Engagement Rate</t>
  </si>
  <si>
    <t xml:space="preserve">Overall Engagement Rate (total eng / total reach)</t>
  </si>
  <si>
    <t xml:space="preserve">Avg CTR</t>
  </si>
  <si>
    <t xml:space="preserve">Avg Impressions per Reach (frequency)</t>
  </si>
  <si>
    <t xml:space="preserve">By Post Type</t>
  </si>
  <si>
    <t xml:space="preserve">Category</t>
  </si>
  <si>
    <t xml:space="preserve">Posts</t>
  </si>
  <si>
    <t xml:space="preserve">Avg Reach</t>
  </si>
  <si>
    <t xml:space="preserve">Avg Impressions</t>
  </si>
  <si>
    <t xml:space="preserve">Avg Engagement</t>
  </si>
  <si>
    <t xml:space="preserve">Avg Eng. Rate</t>
  </si>
  <si>
    <t xml:space="preserve">Avg Saves</t>
  </si>
  <si>
    <t xml:space="preserve">By Platform</t>
  </si>
  <si>
    <t xml:space="preserve">By Time Slot</t>
  </si>
  <si>
    <t xml:space="preserve">By Topic</t>
  </si>
  <si>
    <t xml:space="preserve">Top 5 and Bottom 5 Posts by Engagement Rate (auto-updates from Raw Data)</t>
  </si>
  <si>
    <t xml:space="preserve">TOP-PERFORMING POSTS</t>
  </si>
  <si>
    <t xml:space="preserve">Rank</t>
  </si>
  <si>
    <t xml:space="preserve">Engagement</t>
  </si>
  <si>
    <t xml:space="preserve">Eng. Rate</t>
  </si>
  <si>
    <t xml:space="preserve">Total posts:</t>
  </si>
  <si>
    <t xml:space="preserve">LOW-PERFORMING POSTS</t>
  </si>
  <si>
    <t xml:space="preserve">Engagement Insights</t>
  </si>
  <si>
    <t xml:space="preserve">1. Reels/Videos have the highest average engagement rate (~9.0%) — about 4x Text posts (~2.2%).</t>
  </si>
  <si>
    <t xml:space="preserve">2. Carousels earn the most Saves per post (~85), showing people bookmark useful, swipeable content.</t>
  </si>
  <si>
    <t xml:space="preserve">3. Evening posts (6–9 PM) average ~8.5% engagement vs ~4.4% for afternoon posts — nearly double.</t>
  </si>
  <si>
    <t xml:space="preserve">4. Instagram gives the largest reach (~10.9K/post); LinkedIn has the best CTR (~2.8%) despite low reach.</t>
  </si>
  <si>
    <t xml:space="preserve">5. Meme/Trend content tops engagement (~10.9%); Industry News and text-only Tips under-perform.</t>
  </si>
  <si>
    <t xml:space="preserve">6. All 5 top posts are Reels or Carousels; all 5 bottom posts are plain Text posts.</t>
  </si>
  <si>
    <t xml:space="preserve">Three Recommendations</t>
  </si>
  <si>
    <t xml:space="preserve">R1. Shift the content mix toward Reels/Videos and Carousels (target 60–70% of posts); convert text posts into carousels.</t>
  </si>
  <si>
    <t xml:space="preserve">R2. Schedule key posts in the 6–9 PM window; avoid 1–3 PM for important launches.</t>
  </si>
  <si>
    <t xml:space="preserve">R3. Use platforms by goal: Instagram for reach/awareness, LinkedIn &amp; Facebook for clicks — add clear CTAs + links there.</t>
  </si>
  <si>
    <t xml:space="preserve">Note: figures above were read from the Summary sheet; the sheet itself recalculates if the data changes.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</si>
</sst>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%"/>
    <numFmt numFmtId="167" formatCode="General"/>
    <numFmt numFmtId="168" formatCode="0"/>
    <numFmt numFmtId="169" formatCode="0.00"/>
    <numFmt numFmtId="170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name val="Arial"/>
      <family val="2"/>
    </font>
    <font>
      <b val="true"/>
      <sz val="14"/>
      <color rgb="FF1F3A6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A6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1F3A68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2"/>
      <color rgb="FFC62828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68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5">
    <dxf>
      <fill>
        <patternFill patternType="solid">
          <fgColor rgb="FF1F3A6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56D"/>
          <bgColor rgb="FF000000"/>
        </patternFill>
      </fill>
    </dxf>
    <dxf>
      <fill>
        <patternFill patternType="solid">
          <fgColor rgb="FFF87B6E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E48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A68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Engagement Rate by post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Summary!F16</c:f>
              <c:strCache>
                <c:ptCount val="1"/>
                <c:pt idx="0">
                  <c:v>Avg Eng.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Summary!$A$17:$A$20</c:f>
              <c:strCache>
                <c:ptCount val="4"/>
                <c:pt idx="0">
                  <c:v>Reel/Video</c:v>
                </c:pt>
                <c:pt idx="1">
                  <c:v>Carousel</c:v>
                </c:pt>
                <c:pt idx="2">
                  <c:v>Image</c:v>
                </c:pt>
                <c:pt idx="3">
                  <c:v>Text</c:v>
                </c:pt>
              </c:strCache>
            </c:strRef>
          </c:cat>
          <c:val>
            <c:numRef>
              <c:f>Summary!$F$17:$F$20</c:f>
              <c:numCache>
                <c:formatCode>0.00%</c:formatCode>
                <c:ptCount val="4"/>
                <c:pt idx="0">
                  <c:v>0.0903096826859629</c:v>
                </c:pt>
                <c:pt idx="1">
                  <c:v>0.0707596738987206</c:v>
                </c:pt>
                <c:pt idx="2">
                  <c:v>0.0373960895315216</c:v>
                </c:pt>
                <c:pt idx="3">
                  <c:v>0.022269936984761</c:v>
                </c:pt>
              </c:numCache>
            </c:numRef>
          </c:val>
        </c:ser>
        <c:gapWidth val="150"/>
        <c:overlap val="0"/>
        <c:axId val="30116694"/>
        <c:axId val="82819666"/>
      </c:barChart>
      <c:catAx>
        <c:axId val="301166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19666"/>
        <c:crosses val="autoZero"/>
        <c:auto val="1"/>
        <c:lblAlgn val="ctr"/>
        <c:lblOffset val="100"/>
        <c:noMultiLvlLbl val="0"/>
      </c:catAx>
      <c:valAx>
        <c:axId val="828196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166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Engagement Rate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Summary!F24</c:f>
              <c:strCache>
                <c:ptCount val="1"/>
                <c:pt idx="0">
                  <c:v>Avg Eng.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Summary!$A$25:$A$28</c:f>
              <c:strCache>
                <c:ptCount val="4"/>
                <c:pt idx="0">
                  <c:v>Instagram</c:v>
                </c:pt>
                <c:pt idx="1">
                  <c:v>Facebook</c:v>
                </c:pt>
                <c:pt idx="2">
                  <c:v>LinkedIn</c:v>
                </c:pt>
                <c:pt idx="3">
                  <c:v>Twitter/X</c:v>
                </c:pt>
              </c:strCache>
            </c:strRef>
          </c:cat>
          <c:val>
            <c:numRef>
              <c:f>Summary!$F$25:$F$28</c:f>
              <c:numCache>
                <c:formatCode>0.00%</c:formatCode>
                <c:ptCount val="4"/>
                <c:pt idx="0">
                  <c:v>0.0619841734484152</c:v>
                </c:pt>
                <c:pt idx="1">
                  <c:v>0.0572028802824531</c:v>
                </c:pt>
                <c:pt idx="2">
                  <c:v>0.0489070747198149</c:v>
                </c:pt>
                <c:pt idx="3">
                  <c:v>0.0673035309774332</c:v>
                </c:pt>
              </c:numCache>
            </c:numRef>
          </c:val>
        </c:ser>
        <c:gapWidth val="150"/>
        <c:overlap val="0"/>
        <c:axId val="23859590"/>
        <c:axId val="8583078"/>
      </c:barChart>
      <c:catAx>
        <c:axId val="238595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3078"/>
        <c:crosses val="autoZero"/>
        <c:auto val="1"/>
        <c:lblAlgn val="ctr"/>
        <c:lblOffset val="100"/>
        <c:noMultiLvlLbl val="0"/>
      </c:catAx>
      <c:valAx>
        <c:axId val="8583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595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Engagement Rate by time slot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Summary!F32</c:f>
              <c:strCache>
                <c:ptCount val="1"/>
                <c:pt idx="0">
                  <c:v>Avg Eng.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Summary!$A$33:$A$36</c:f>
              <c:strCache>
                <c:ptCount val="4"/>
                <c:pt idx="0">
                  <c:v>Morning (9-11 AM)</c:v>
                </c:pt>
                <c:pt idx="1">
                  <c:v>Afternoon (1-3 PM)</c:v>
                </c:pt>
                <c:pt idx="2">
                  <c:v>Evening (6-9 PM)</c:v>
                </c:pt>
                <c:pt idx="3">
                  <c:v>Night (10 PM-12 AM)</c:v>
                </c:pt>
              </c:strCache>
            </c:strRef>
          </c:cat>
          <c:val>
            <c:numRef>
              <c:f>Summary!$F$33:$F$36</c:f>
              <c:numCache>
                <c:formatCode>0.00%</c:formatCode>
                <c:ptCount val="4"/>
                <c:pt idx="0">
                  <c:v>0.0454663936927148</c:v>
                </c:pt>
                <c:pt idx="1">
                  <c:v>0.043647193938363</c:v>
                </c:pt>
                <c:pt idx="2">
                  <c:v>0.0849211194445844</c:v>
                </c:pt>
                <c:pt idx="3">
                  <c:v>0.0605872956203584</c:v>
                </c:pt>
              </c:numCache>
            </c:numRef>
          </c:val>
        </c:ser>
        <c:gapWidth val="150"/>
        <c:overlap val="0"/>
        <c:axId val="48128100"/>
        <c:axId val="74953864"/>
      </c:barChart>
      <c:catAx>
        <c:axId val="48128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53864"/>
        <c:crosses val="autoZero"/>
        <c:auto val="1"/>
        <c:lblAlgn val="ctr"/>
        <c:lblOffset val="100"/>
        <c:noMultiLvlLbl val="0"/>
      </c:catAx>
      <c:valAx>
        <c:axId val="749538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281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Engagement Rate by topic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Summary!F40</c:f>
              <c:strCache>
                <c:ptCount val="1"/>
                <c:pt idx="0">
                  <c:v>Avg Eng.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Summary!$A$41:$A$48</c:f>
              <c:strCache>
                <c:ptCount val="8"/>
                <c:pt idx="0">
                  <c:v>Behind the Scenes</c:v>
                </c:pt>
                <c:pt idx="1">
                  <c:v>Customer Story</c:v>
                </c:pt>
                <c:pt idx="2">
                  <c:v>Festival Greeting</c:v>
                </c:pt>
                <c:pt idx="3">
                  <c:v>Industry News</c:v>
                </c:pt>
                <c:pt idx="4">
                  <c:v>Meme/Trend</c:v>
                </c:pt>
                <c:pt idx="5">
                  <c:v>Offer/Discount</c:v>
                </c:pt>
                <c:pt idx="6">
                  <c:v>Product Launch</c:v>
                </c:pt>
                <c:pt idx="7">
                  <c:v>Tips &amp; Tutorial</c:v>
                </c:pt>
              </c:strCache>
            </c:strRef>
          </c:cat>
          <c:val>
            <c:numRef>
              <c:f>Summary!$F$41:$F$48</c:f>
              <c:numCache>
                <c:formatCode>0.00%</c:formatCode>
                <c:ptCount val="8"/>
                <c:pt idx="0">
                  <c:v>0.0599915371350397</c:v>
                </c:pt>
                <c:pt idx="1">
                  <c:v>0.0634677232215112</c:v>
                </c:pt>
                <c:pt idx="2">
                  <c:v>0.0719017942047893</c:v>
                </c:pt>
                <c:pt idx="3">
                  <c:v>0.0456390708666475</c:v>
                </c:pt>
                <c:pt idx="4">
                  <c:v>0.109439432307575</c:v>
                </c:pt>
                <c:pt idx="5">
                  <c:v>0.0461874599555482</c:v>
                </c:pt>
                <c:pt idx="6">
                  <c:v>0.0533630006676906</c:v>
                </c:pt>
                <c:pt idx="7">
                  <c:v>0.0304527177321927</c:v>
                </c:pt>
              </c:numCache>
            </c:numRef>
          </c:val>
        </c:ser>
        <c:gapWidth val="150"/>
        <c:overlap val="0"/>
        <c:axId val="50088300"/>
        <c:axId val="37232833"/>
      </c:barChart>
      <c:catAx>
        <c:axId val="500883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32833"/>
        <c:crosses val="autoZero"/>
        <c:auto val="1"/>
        <c:lblAlgn val="ctr"/>
        <c:lblOffset val="100"/>
        <c:noMultiLvlLbl val="0"/>
      </c:catAx>
      <c:valAx>
        <c:axId val="372328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883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160560</xdr:rowOff>
    </xdr:from>
    <xdr:to>
      <xdr:col>17</xdr:col>
      <xdr:colOff>147600</xdr:colOff>
      <xdr:row>15</xdr:row>
      <xdr:rowOff>13320</xdr:rowOff>
    </xdr:to>
    <xdr:graphicFrame>
      <xdr:nvGraphicFramePr>
        <xdr:cNvPr id="0" name="Chart 1"/>
        <xdr:cNvGraphicFramePr/>
      </xdr:nvGraphicFramePr>
      <xdr:xfrm>
        <a:off x="10620360" y="380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16</xdr:row>
      <xdr:rowOff>10080</xdr:rowOff>
    </xdr:from>
    <xdr:to>
      <xdr:col>17</xdr:col>
      <xdr:colOff>147600</xdr:colOff>
      <xdr:row>28</xdr:row>
      <xdr:rowOff>93240</xdr:rowOff>
    </xdr:to>
    <xdr:graphicFrame>
      <xdr:nvGraphicFramePr>
        <xdr:cNvPr id="1" name="Chart 2"/>
        <xdr:cNvGraphicFramePr/>
      </xdr:nvGraphicFramePr>
      <xdr:xfrm>
        <a:off x="10620360" y="323856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30</xdr:row>
      <xdr:rowOff>50040</xdr:rowOff>
    </xdr:from>
    <xdr:to>
      <xdr:col>17</xdr:col>
      <xdr:colOff>147600</xdr:colOff>
      <xdr:row>41</xdr:row>
      <xdr:rowOff>173160</xdr:rowOff>
    </xdr:to>
    <xdr:graphicFrame>
      <xdr:nvGraphicFramePr>
        <xdr:cNvPr id="2" name="Chart 3"/>
        <xdr:cNvGraphicFramePr/>
      </xdr:nvGraphicFramePr>
      <xdr:xfrm>
        <a:off x="10620360" y="6095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43</xdr:row>
      <xdr:rowOff>130320</xdr:rowOff>
    </xdr:from>
    <xdr:to>
      <xdr:col>17</xdr:col>
      <xdr:colOff>147600</xdr:colOff>
      <xdr:row>56</xdr:row>
      <xdr:rowOff>173520</xdr:rowOff>
    </xdr:to>
    <xdr:graphicFrame>
      <xdr:nvGraphicFramePr>
        <xdr:cNvPr id="3" name="Chart 4"/>
        <xdr:cNvGraphicFramePr/>
      </xdr:nvGraphicFramePr>
      <xdr:xfrm>
        <a:off x="10620360" y="895356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4" min="2" style="0" width="11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9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4" min="12" style="0" width="8"/>
    <col collapsed="false" customWidth="true" hidden="false" outlineLevel="0" max="16" min="15" style="0" width="12"/>
    <col collapsed="false" customWidth="true" hidden="false" outlineLevel="0" max="17" min="17" style="0" width="8"/>
    <col collapsed="false" customWidth="true" hidden="false" outlineLevel="0" max="18" min="18" style="0" width="9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 t="n">
        <v>6165</v>
      </c>
      <c r="I2" s="3" t="n">
        <v>8265</v>
      </c>
      <c r="J2" s="3" t="n">
        <v>393</v>
      </c>
      <c r="K2" s="3" t="n">
        <v>49</v>
      </c>
      <c r="L2" s="3" t="n">
        <v>60</v>
      </c>
      <c r="M2" s="3" t="n">
        <v>43</v>
      </c>
      <c r="N2" s="3" t="n">
        <v>212</v>
      </c>
      <c r="O2" s="4" t="n">
        <f aca="false">SUM(J2:M2)</f>
        <v>545</v>
      </c>
      <c r="P2" s="5" t="n">
        <f aca="false">IFERROR(O2/H2,0)</f>
        <v>0.0884022708840227</v>
      </c>
      <c r="Q2" s="5" t="n">
        <f aca="false">IFERROR(N2/I2,0)</f>
        <v>0.0256503327283727</v>
      </c>
      <c r="R2" s="6" t="n">
        <f aca="false">RANK(P2,$P$2:$P$41,0)+COUNTIF($P$2:P2,P2)-1</f>
        <v>9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  <c r="D3" s="2" t="s">
        <v>28</v>
      </c>
      <c r="E3" s="2" t="s">
        <v>22</v>
      </c>
      <c r="F3" s="2" t="s">
        <v>29</v>
      </c>
      <c r="G3" s="2" t="s">
        <v>30</v>
      </c>
      <c r="H3" s="3" t="n">
        <v>4134</v>
      </c>
      <c r="I3" s="3" t="n">
        <v>5755</v>
      </c>
      <c r="J3" s="3" t="n">
        <v>296</v>
      </c>
      <c r="K3" s="3" t="n">
        <v>37</v>
      </c>
      <c r="L3" s="3" t="n">
        <v>45</v>
      </c>
      <c r="M3" s="3" t="n">
        <v>32</v>
      </c>
      <c r="N3" s="3" t="n">
        <v>103</v>
      </c>
      <c r="O3" s="4" t="n">
        <f aca="false">SUM(J3:M3)</f>
        <v>410</v>
      </c>
      <c r="P3" s="5" t="n">
        <f aca="false">IFERROR(O3/H3,0)</f>
        <v>0.0991775520077407</v>
      </c>
      <c r="Q3" s="5" t="n">
        <f aca="false">IFERROR(N3/I3,0)</f>
        <v>0.0178974804517811</v>
      </c>
      <c r="R3" s="6" t="n">
        <f aca="false">RANK(P3,$P$2:$P$41,0)+COUNTIF($P$2:P3,P3)-1</f>
        <v>4</v>
      </c>
    </row>
    <row r="4" customFormat="false" ht="15" hidden="false" customHeight="false" outlineLevel="0" collapsed="false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29</v>
      </c>
      <c r="G4" s="2" t="s">
        <v>36</v>
      </c>
      <c r="H4" s="3" t="n">
        <v>5584</v>
      </c>
      <c r="I4" s="3" t="n">
        <v>7989</v>
      </c>
      <c r="J4" s="3" t="n">
        <v>321</v>
      </c>
      <c r="K4" s="3" t="n">
        <v>40</v>
      </c>
      <c r="L4" s="3" t="n">
        <v>49</v>
      </c>
      <c r="M4" s="3" t="n">
        <v>78</v>
      </c>
      <c r="N4" s="3" t="n">
        <v>166</v>
      </c>
      <c r="O4" s="4" t="n">
        <f aca="false">SUM(J4:M4)</f>
        <v>488</v>
      </c>
      <c r="P4" s="5" t="n">
        <f aca="false">IFERROR(O4/H4,0)</f>
        <v>0.0873925501432665</v>
      </c>
      <c r="Q4" s="5" t="n">
        <f aca="false">IFERROR(N4/I4,0)</f>
        <v>0.0207785705344849</v>
      </c>
      <c r="R4" s="6" t="n">
        <f aca="false">RANK(P4,$P$2:$P$41,0)+COUNTIF($P$2:P4,P4)-1</f>
        <v>10</v>
      </c>
    </row>
    <row r="5" customFormat="false" ht="15" hidden="false" customHeight="false" outlineLevel="0" collapsed="false">
      <c r="A5" s="2" t="s">
        <v>37</v>
      </c>
      <c r="B5" s="2" t="s">
        <v>38</v>
      </c>
      <c r="C5" s="2" t="s">
        <v>39</v>
      </c>
      <c r="D5" s="2" t="s">
        <v>40</v>
      </c>
      <c r="E5" s="2" t="s">
        <v>35</v>
      </c>
      <c r="F5" s="2" t="s">
        <v>29</v>
      </c>
      <c r="G5" s="2" t="s">
        <v>24</v>
      </c>
      <c r="H5" s="3" t="n">
        <v>12168</v>
      </c>
      <c r="I5" s="3" t="n">
        <v>16912</v>
      </c>
      <c r="J5" s="3" t="n">
        <v>1089</v>
      </c>
      <c r="K5" s="3" t="n">
        <v>136</v>
      </c>
      <c r="L5" s="3" t="n">
        <v>166</v>
      </c>
      <c r="M5" s="3" t="n">
        <v>266</v>
      </c>
      <c r="N5" s="3" t="n">
        <v>154</v>
      </c>
      <c r="O5" s="4" t="n">
        <f aca="false">SUM(J5:M5)</f>
        <v>1657</v>
      </c>
      <c r="P5" s="5" t="n">
        <f aca="false">IFERROR(O5/H5,0)</f>
        <v>0.136176857330703</v>
      </c>
      <c r="Q5" s="5" t="n">
        <f aca="false">IFERROR(N5/I5,0)</f>
        <v>0.00910596026490066</v>
      </c>
      <c r="R5" s="6" t="n">
        <f aca="false">RANK(P5,$P$2:$P$41,0)+COUNTIF($P$2:P5,P5)-1</f>
        <v>1</v>
      </c>
    </row>
    <row r="6" customFormat="false" ht="15" hidden="false" customHeight="false" outlineLevel="0" collapsed="false">
      <c r="A6" s="2" t="s">
        <v>41</v>
      </c>
      <c r="B6" s="2" t="s">
        <v>42</v>
      </c>
      <c r="C6" s="2" t="s">
        <v>27</v>
      </c>
      <c r="D6" s="2" t="s">
        <v>21</v>
      </c>
      <c r="E6" s="2" t="s">
        <v>22</v>
      </c>
      <c r="F6" s="2" t="s">
        <v>43</v>
      </c>
      <c r="G6" s="2" t="s">
        <v>24</v>
      </c>
      <c r="H6" s="3" t="n">
        <v>7733</v>
      </c>
      <c r="I6" s="3" t="n">
        <v>13723</v>
      </c>
      <c r="J6" s="3" t="n">
        <v>548</v>
      </c>
      <c r="K6" s="3" t="n">
        <v>68</v>
      </c>
      <c r="L6" s="3" t="n">
        <v>83</v>
      </c>
      <c r="M6" s="3" t="n">
        <v>60</v>
      </c>
      <c r="N6" s="3" t="n">
        <v>210</v>
      </c>
      <c r="O6" s="4" t="n">
        <f aca="false">SUM(J6:M6)</f>
        <v>759</v>
      </c>
      <c r="P6" s="5" t="n">
        <f aca="false">IFERROR(O6/H6,0)</f>
        <v>0.0981507823613087</v>
      </c>
      <c r="Q6" s="5" t="n">
        <f aca="false">IFERROR(N6/I6,0)</f>
        <v>0.015302776360854</v>
      </c>
      <c r="R6" s="6" t="n">
        <f aca="false">RANK(P6,$P$2:$P$41,0)+COUNTIF($P$2:P6,P6)-1</f>
        <v>5</v>
      </c>
    </row>
    <row r="7" customFormat="false" ht="15" hidden="false" customHeight="false" outlineLevel="0" collapsed="false">
      <c r="A7" s="2" t="s">
        <v>44</v>
      </c>
      <c r="B7" s="2" t="s">
        <v>45</v>
      </c>
      <c r="C7" s="2" t="s">
        <v>33</v>
      </c>
      <c r="D7" s="2" t="s">
        <v>28</v>
      </c>
      <c r="E7" s="2" t="s">
        <v>46</v>
      </c>
      <c r="F7" s="2" t="s">
        <v>47</v>
      </c>
      <c r="G7" s="2" t="s">
        <v>24</v>
      </c>
      <c r="H7" s="3" t="n">
        <v>3736</v>
      </c>
      <c r="I7" s="3" t="n">
        <v>6172</v>
      </c>
      <c r="J7" s="3" t="n">
        <v>113</v>
      </c>
      <c r="K7" s="3" t="n">
        <v>14</v>
      </c>
      <c r="L7" s="3" t="n">
        <v>17</v>
      </c>
      <c r="M7" s="3" t="n">
        <v>12</v>
      </c>
      <c r="N7" s="3" t="n">
        <v>161</v>
      </c>
      <c r="O7" s="4" t="n">
        <f aca="false">SUM(J7:M7)</f>
        <v>156</v>
      </c>
      <c r="P7" s="5" t="n">
        <f aca="false">IFERROR(O7/H7,0)</f>
        <v>0.0417558886509636</v>
      </c>
      <c r="Q7" s="5" t="n">
        <f aca="false">IFERROR(N7/I7,0)</f>
        <v>0.0260855476344783</v>
      </c>
      <c r="R7" s="6" t="n">
        <f aca="false">RANK(P7,$P$2:$P$41,0)+COUNTIF($P$2:P7,P7)-1</f>
        <v>27</v>
      </c>
    </row>
    <row r="8" customFormat="false" ht="15" hidden="false" customHeight="false" outlineLevel="0" collapsed="false">
      <c r="A8" s="2" t="s">
        <v>48</v>
      </c>
      <c r="B8" s="2" t="s">
        <v>49</v>
      </c>
      <c r="C8" s="2" t="s">
        <v>39</v>
      </c>
      <c r="D8" s="2" t="s">
        <v>34</v>
      </c>
      <c r="E8" s="2" t="s">
        <v>22</v>
      </c>
      <c r="F8" s="2" t="s">
        <v>23</v>
      </c>
      <c r="G8" s="2" t="s">
        <v>36</v>
      </c>
      <c r="H8" s="3" t="n">
        <v>8938</v>
      </c>
      <c r="I8" s="3" t="n">
        <v>16896</v>
      </c>
      <c r="J8" s="3" t="n">
        <v>515</v>
      </c>
      <c r="K8" s="3" t="n">
        <v>64</v>
      </c>
      <c r="L8" s="3" t="n">
        <v>78</v>
      </c>
      <c r="M8" s="3" t="n">
        <v>57</v>
      </c>
      <c r="N8" s="3" t="n">
        <v>556</v>
      </c>
      <c r="O8" s="4" t="n">
        <f aca="false">SUM(J8:M8)</f>
        <v>714</v>
      </c>
      <c r="P8" s="5" t="n">
        <f aca="false">IFERROR(O8/H8,0)</f>
        <v>0.079883642873126</v>
      </c>
      <c r="Q8" s="5" t="n">
        <f aca="false">IFERROR(N8/I8,0)</f>
        <v>0.032907196969697</v>
      </c>
      <c r="R8" s="6" t="n">
        <f aca="false">RANK(P8,$P$2:$P$41,0)+COUNTIF($P$2:P8,P8)-1</f>
        <v>11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40</v>
      </c>
      <c r="E9" s="2" t="s">
        <v>46</v>
      </c>
      <c r="F9" s="2" t="s">
        <v>53</v>
      </c>
      <c r="G9" s="2" t="s">
        <v>54</v>
      </c>
      <c r="H9" s="3" t="n">
        <v>5839</v>
      </c>
      <c r="I9" s="3" t="n">
        <v>8683</v>
      </c>
      <c r="J9" s="3" t="n">
        <v>77</v>
      </c>
      <c r="K9" s="3" t="n">
        <v>9</v>
      </c>
      <c r="L9" s="3" t="n">
        <v>11</v>
      </c>
      <c r="M9" s="3" t="n">
        <v>8</v>
      </c>
      <c r="N9" s="3" t="n">
        <v>129</v>
      </c>
      <c r="O9" s="4" t="n">
        <f aca="false">SUM(J9:M9)</f>
        <v>105</v>
      </c>
      <c r="P9" s="5" t="n">
        <f aca="false">IFERROR(O9/H9,0)</f>
        <v>0.0179825312553519</v>
      </c>
      <c r="Q9" s="5" t="n">
        <f aca="false">IFERROR(N9/I9,0)</f>
        <v>0.0148566163768283</v>
      </c>
      <c r="R9" s="6" t="n">
        <f aca="false">RANK(P9,$P$2:$P$41,0)+COUNTIF($P$2:P9,P9)-1</f>
        <v>39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21</v>
      </c>
      <c r="E10" s="2" t="s">
        <v>58</v>
      </c>
      <c r="F10" s="2" t="s">
        <v>47</v>
      </c>
      <c r="G10" s="2" t="s">
        <v>36</v>
      </c>
      <c r="H10" s="3" t="n">
        <v>2857</v>
      </c>
      <c r="I10" s="3" t="n">
        <v>4025</v>
      </c>
      <c r="J10" s="3" t="n">
        <v>70</v>
      </c>
      <c r="K10" s="3" t="n">
        <v>8</v>
      </c>
      <c r="L10" s="3" t="n">
        <v>10</v>
      </c>
      <c r="M10" s="3" t="n">
        <v>7</v>
      </c>
      <c r="N10" s="3" t="n">
        <v>52</v>
      </c>
      <c r="O10" s="4" t="n">
        <f aca="false">SUM(J10:M10)</f>
        <v>95</v>
      </c>
      <c r="P10" s="5" t="n">
        <f aca="false">IFERROR(O10/H10,0)</f>
        <v>0.0332516625831292</v>
      </c>
      <c r="Q10" s="5" t="n">
        <f aca="false">IFERROR(N10/I10,0)</f>
        <v>0.0129192546583851</v>
      </c>
      <c r="R10" s="6" t="n">
        <f aca="false">RANK(P10,$P$2:$P$41,0)+COUNTIF($P$2:P10,P10)-1</f>
        <v>32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39</v>
      </c>
      <c r="D11" s="2" t="s">
        <v>34</v>
      </c>
      <c r="E11" s="2" t="s">
        <v>58</v>
      </c>
      <c r="F11" s="2" t="s">
        <v>23</v>
      </c>
      <c r="G11" s="2" t="s">
        <v>36</v>
      </c>
      <c r="H11" s="3" t="n">
        <v>5726</v>
      </c>
      <c r="I11" s="3" t="n">
        <v>10153</v>
      </c>
      <c r="J11" s="3" t="n">
        <v>109</v>
      </c>
      <c r="K11" s="3" t="n">
        <v>13</v>
      </c>
      <c r="L11" s="3" t="n">
        <v>16</v>
      </c>
      <c r="M11" s="3" t="n">
        <v>12</v>
      </c>
      <c r="N11" s="3" t="n">
        <v>202</v>
      </c>
      <c r="O11" s="4" t="n">
        <f aca="false">SUM(J11:M11)</f>
        <v>150</v>
      </c>
      <c r="P11" s="5" t="n">
        <f aca="false">IFERROR(O11/H11,0)</f>
        <v>0.0261962975899406</v>
      </c>
      <c r="Q11" s="5" t="n">
        <f aca="false">IFERROR(N11/I11,0)</f>
        <v>0.0198955973603861</v>
      </c>
      <c r="R11" s="6" t="n">
        <f aca="false">RANK(P11,$P$2:$P$41,0)+COUNTIF($P$2:P11,P11)-1</f>
        <v>34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52</v>
      </c>
      <c r="D12" s="2" t="s">
        <v>34</v>
      </c>
      <c r="E12" s="2" t="s">
        <v>58</v>
      </c>
      <c r="F12" s="2" t="s">
        <v>63</v>
      </c>
      <c r="G12" s="2" t="s">
        <v>54</v>
      </c>
      <c r="H12" s="3" t="n">
        <v>5624</v>
      </c>
      <c r="I12" s="3" t="n">
        <v>10373</v>
      </c>
      <c r="J12" s="3" t="n">
        <v>152</v>
      </c>
      <c r="K12" s="3" t="n">
        <v>19</v>
      </c>
      <c r="L12" s="3" t="n">
        <v>23</v>
      </c>
      <c r="M12" s="3" t="n">
        <v>16</v>
      </c>
      <c r="N12" s="3" t="n">
        <v>160</v>
      </c>
      <c r="O12" s="4" t="n">
        <f aca="false">SUM(J12:M12)</f>
        <v>210</v>
      </c>
      <c r="P12" s="5" t="n">
        <f aca="false">IFERROR(O12/H12,0)</f>
        <v>0.0373399715504979</v>
      </c>
      <c r="Q12" s="5" t="n">
        <f aca="false">IFERROR(N12/I12,0)</f>
        <v>0.0154246601754555</v>
      </c>
      <c r="R12" s="6" t="n">
        <f aca="false">RANK(P12,$P$2:$P$41,0)+COUNTIF($P$2:P12,P12)-1</f>
        <v>28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57</v>
      </c>
      <c r="D13" s="2" t="s">
        <v>40</v>
      </c>
      <c r="E13" s="2" t="s">
        <v>35</v>
      </c>
      <c r="F13" s="2" t="s">
        <v>53</v>
      </c>
      <c r="G13" s="2" t="s">
        <v>54</v>
      </c>
      <c r="H13" s="3" t="n">
        <v>13377</v>
      </c>
      <c r="I13" s="3" t="n">
        <v>20194</v>
      </c>
      <c r="J13" s="3" t="n">
        <v>484</v>
      </c>
      <c r="K13" s="3" t="n">
        <v>60</v>
      </c>
      <c r="L13" s="3" t="n">
        <v>74</v>
      </c>
      <c r="M13" s="3" t="n">
        <v>118</v>
      </c>
      <c r="N13" s="3" t="n">
        <v>472</v>
      </c>
      <c r="O13" s="4" t="n">
        <f aca="false">SUM(J13:M13)</f>
        <v>736</v>
      </c>
      <c r="P13" s="5" t="n">
        <f aca="false">IFERROR(O13/H13,0)</f>
        <v>0.0550198101218509</v>
      </c>
      <c r="Q13" s="5" t="n">
        <f aca="false">IFERROR(N13/I13,0)</f>
        <v>0.0233732791918392</v>
      </c>
      <c r="R13" s="6" t="n">
        <f aca="false">RANK(P13,$P$2:$P$41,0)+COUNTIF($P$2:P13,P13)-1</f>
        <v>19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21</v>
      </c>
      <c r="E14" s="2" t="s">
        <v>46</v>
      </c>
      <c r="F14" s="2" t="s">
        <v>47</v>
      </c>
      <c r="G14" s="2" t="s">
        <v>30</v>
      </c>
      <c r="H14" s="3" t="n">
        <v>2299</v>
      </c>
      <c r="I14" s="3" t="n">
        <v>3102</v>
      </c>
      <c r="J14" s="3" t="n">
        <v>34</v>
      </c>
      <c r="K14" s="3" t="n">
        <v>4</v>
      </c>
      <c r="L14" s="3" t="n">
        <v>5</v>
      </c>
      <c r="M14" s="3" t="n">
        <v>3</v>
      </c>
      <c r="N14" s="3" t="n">
        <v>51</v>
      </c>
      <c r="O14" s="4" t="n">
        <f aca="false">SUM(J14:M14)</f>
        <v>46</v>
      </c>
      <c r="P14" s="5" t="n">
        <f aca="false">IFERROR(O14/H14,0)</f>
        <v>0.0200086994345368</v>
      </c>
      <c r="Q14" s="5" t="n">
        <f aca="false">IFERROR(N14/I14,0)</f>
        <v>0.0164410058027079</v>
      </c>
      <c r="R14" s="6" t="n">
        <f aca="false">RANK(P14,$P$2:$P$41,0)+COUNTIF($P$2:P14,P14)-1</f>
        <v>37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20</v>
      </c>
      <c r="D15" s="2" t="s">
        <v>28</v>
      </c>
      <c r="E15" s="2" t="s">
        <v>22</v>
      </c>
      <c r="F15" s="2" t="s">
        <v>29</v>
      </c>
      <c r="G15" s="2" t="s">
        <v>54</v>
      </c>
      <c r="H15" s="3" t="n">
        <v>6768</v>
      </c>
      <c r="I15" s="3" t="n">
        <v>10519</v>
      </c>
      <c r="J15" s="3" t="n">
        <v>471</v>
      </c>
      <c r="K15" s="3" t="n">
        <v>58</v>
      </c>
      <c r="L15" s="3" t="n">
        <v>72</v>
      </c>
      <c r="M15" s="3" t="n">
        <v>52</v>
      </c>
      <c r="N15" s="3" t="n">
        <v>271</v>
      </c>
      <c r="O15" s="4" t="n">
        <f aca="false">SUM(J15:M15)</f>
        <v>653</v>
      </c>
      <c r="P15" s="5" t="n">
        <f aca="false">IFERROR(O15/H15,0)</f>
        <v>0.096483451536643</v>
      </c>
      <c r="Q15" s="5" t="n">
        <f aca="false">IFERROR(N15/I15,0)</f>
        <v>0.0257629052191273</v>
      </c>
      <c r="R15" s="6" t="n">
        <f aca="false">RANK(P15,$P$2:$P$41,0)+COUNTIF($P$2:P15,P15)-1</f>
        <v>7</v>
      </c>
    </row>
    <row r="16" customFormat="false" ht="15" hidden="false" customHeight="false" outlineLevel="0" collapsed="false">
      <c r="A16" s="2" t="s">
        <v>71</v>
      </c>
      <c r="B16" s="2" t="s">
        <v>72</v>
      </c>
      <c r="C16" s="2" t="s">
        <v>57</v>
      </c>
      <c r="D16" s="2" t="s">
        <v>40</v>
      </c>
      <c r="E16" s="2" t="s">
        <v>22</v>
      </c>
      <c r="F16" s="2" t="s">
        <v>53</v>
      </c>
      <c r="G16" s="2" t="s">
        <v>24</v>
      </c>
      <c r="H16" s="3" t="n">
        <v>14356</v>
      </c>
      <c r="I16" s="3" t="n">
        <v>22001</v>
      </c>
      <c r="J16" s="3" t="n">
        <v>1004</v>
      </c>
      <c r="K16" s="3" t="n">
        <v>125</v>
      </c>
      <c r="L16" s="3" t="n">
        <v>153</v>
      </c>
      <c r="M16" s="3" t="n">
        <v>111</v>
      </c>
      <c r="N16" s="3" t="n">
        <v>503</v>
      </c>
      <c r="O16" s="4" t="n">
        <f aca="false">SUM(J16:M16)</f>
        <v>1393</v>
      </c>
      <c r="P16" s="5" t="n">
        <f aca="false">IFERROR(O16/H16,0)</f>
        <v>0.0970325996099192</v>
      </c>
      <c r="Q16" s="5" t="n">
        <f aca="false">IFERROR(N16/I16,0)</f>
        <v>0.0228625971546748</v>
      </c>
      <c r="R16" s="6" t="n">
        <f aca="false">RANK(P16,$P$2:$P$41,0)+COUNTIF($P$2:P16,P16)-1</f>
        <v>6</v>
      </c>
    </row>
    <row r="17" customFormat="false" ht="15" hidden="false" customHeight="false" outlineLevel="0" collapsed="false">
      <c r="A17" s="2" t="s">
        <v>73</v>
      </c>
      <c r="B17" s="2" t="s">
        <v>74</v>
      </c>
      <c r="C17" s="2" t="s">
        <v>68</v>
      </c>
      <c r="D17" s="2" t="s">
        <v>40</v>
      </c>
      <c r="E17" s="2" t="s">
        <v>58</v>
      </c>
      <c r="F17" s="2" t="s">
        <v>75</v>
      </c>
      <c r="G17" s="2" t="s">
        <v>30</v>
      </c>
      <c r="H17" s="3" t="n">
        <v>9900</v>
      </c>
      <c r="I17" s="3" t="n">
        <v>14295</v>
      </c>
      <c r="J17" s="3" t="n">
        <v>252</v>
      </c>
      <c r="K17" s="3" t="n">
        <v>31</v>
      </c>
      <c r="L17" s="3" t="n">
        <v>38</v>
      </c>
      <c r="M17" s="3" t="n">
        <v>28</v>
      </c>
      <c r="N17" s="3" t="n">
        <v>182</v>
      </c>
      <c r="O17" s="4" t="n">
        <f aca="false">SUM(J17:M17)</f>
        <v>349</v>
      </c>
      <c r="P17" s="5" t="n">
        <f aca="false">IFERROR(O17/H17,0)</f>
        <v>0.0352525252525253</v>
      </c>
      <c r="Q17" s="5" t="n">
        <f aca="false">IFERROR(N17/I17,0)</f>
        <v>0.0127317243791536</v>
      </c>
      <c r="R17" s="6" t="n">
        <f aca="false">RANK(P17,$P$2:$P$41,0)+COUNTIF($P$2:P17,P17)-1</f>
        <v>31</v>
      </c>
    </row>
    <row r="18" customFormat="false" ht="15" hidden="false" customHeight="false" outlineLevel="0" collapsed="false">
      <c r="A18" s="2" t="s">
        <v>76</v>
      </c>
      <c r="B18" s="2" t="s">
        <v>77</v>
      </c>
      <c r="C18" s="2" t="s">
        <v>20</v>
      </c>
      <c r="D18" s="2" t="s">
        <v>21</v>
      </c>
      <c r="E18" s="2" t="s">
        <v>35</v>
      </c>
      <c r="F18" s="2" t="s">
        <v>43</v>
      </c>
      <c r="G18" s="2" t="s">
        <v>36</v>
      </c>
      <c r="H18" s="3" t="n">
        <v>3439</v>
      </c>
      <c r="I18" s="3" t="n">
        <v>6039</v>
      </c>
      <c r="J18" s="3" t="n">
        <v>104</v>
      </c>
      <c r="K18" s="3" t="n">
        <v>13</v>
      </c>
      <c r="L18" s="3" t="n">
        <v>15</v>
      </c>
      <c r="M18" s="3" t="n">
        <v>25</v>
      </c>
      <c r="N18" s="3" t="n">
        <v>63</v>
      </c>
      <c r="O18" s="4" t="n">
        <f aca="false">SUM(J18:M18)</f>
        <v>157</v>
      </c>
      <c r="P18" s="5" t="n">
        <f aca="false">IFERROR(O18/H18,0)</f>
        <v>0.0456528060482698</v>
      </c>
      <c r="Q18" s="5" t="n">
        <f aca="false">IFERROR(N18/I18,0)</f>
        <v>0.0104321907600596</v>
      </c>
      <c r="R18" s="6" t="n">
        <f aca="false">RANK(P18,$P$2:$P$41,0)+COUNTIF($P$2:P18,P18)-1</f>
        <v>23</v>
      </c>
    </row>
    <row r="19" customFormat="false" ht="15" hidden="false" customHeight="false" outlineLevel="0" collapsed="false">
      <c r="A19" s="2" t="s">
        <v>78</v>
      </c>
      <c r="B19" s="2" t="s">
        <v>79</v>
      </c>
      <c r="C19" s="2" t="s">
        <v>27</v>
      </c>
      <c r="D19" s="2" t="s">
        <v>28</v>
      </c>
      <c r="E19" s="2" t="s">
        <v>58</v>
      </c>
      <c r="F19" s="2" t="s">
        <v>80</v>
      </c>
      <c r="G19" s="2" t="s">
        <v>30</v>
      </c>
      <c r="H19" s="3" t="n">
        <v>2761</v>
      </c>
      <c r="I19" s="3" t="n">
        <v>4102</v>
      </c>
      <c r="J19" s="3" t="n">
        <v>54</v>
      </c>
      <c r="K19" s="3" t="n">
        <v>6</v>
      </c>
      <c r="L19" s="3" t="n">
        <v>8</v>
      </c>
      <c r="M19" s="3" t="n">
        <v>6</v>
      </c>
      <c r="N19" s="3" t="n">
        <v>121</v>
      </c>
      <c r="O19" s="4" t="n">
        <f aca="false">SUM(J19:M19)</f>
        <v>74</v>
      </c>
      <c r="P19" s="5" t="n">
        <f aca="false">IFERROR(O19/H19,0)</f>
        <v>0.0268018833755886</v>
      </c>
      <c r="Q19" s="5" t="n">
        <f aca="false">IFERROR(N19/I19,0)</f>
        <v>0.0294978059483179</v>
      </c>
      <c r="R19" s="6" t="n">
        <f aca="false">RANK(P19,$P$2:$P$41,0)+COUNTIF($P$2:P19,P19)-1</f>
        <v>33</v>
      </c>
    </row>
    <row r="20" customFormat="false" ht="15" hidden="false" customHeight="false" outlineLevel="0" collapsed="false">
      <c r="A20" s="2" t="s">
        <v>81</v>
      </c>
      <c r="B20" s="2" t="s">
        <v>82</v>
      </c>
      <c r="C20" s="2" t="s">
        <v>33</v>
      </c>
      <c r="D20" s="2" t="s">
        <v>34</v>
      </c>
      <c r="E20" s="2" t="s">
        <v>35</v>
      </c>
      <c r="F20" s="2" t="s">
        <v>23</v>
      </c>
      <c r="G20" s="2" t="s">
        <v>36</v>
      </c>
      <c r="H20" s="3" t="n">
        <v>7066</v>
      </c>
      <c r="I20" s="3" t="n">
        <v>13181</v>
      </c>
      <c r="J20" s="3" t="n">
        <v>209</v>
      </c>
      <c r="K20" s="3" t="n">
        <v>26</v>
      </c>
      <c r="L20" s="3" t="n">
        <v>32</v>
      </c>
      <c r="M20" s="3" t="n">
        <v>51</v>
      </c>
      <c r="N20" s="3" t="n">
        <v>352</v>
      </c>
      <c r="O20" s="4" t="n">
        <f aca="false">SUM(J20:M20)</f>
        <v>318</v>
      </c>
      <c r="P20" s="5" t="n">
        <f aca="false">IFERROR(O20/H20,0)</f>
        <v>0.0450042456835551</v>
      </c>
      <c r="Q20" s="5" t="n">
        <f aca="false">IFERROR(N20/I20,0)</f>
        <v>0.0267051058341552</v>
      </c>
      <c r="R20" s="6" t="n">
        <f aca="false">RANK(P20,$P$2:$P$41,0)+COUNTIF($P$2:P20,P20)-1</f>
        <v>24</v>
      </c>
    </row>
    <row r="21" customFormat="false" ht="15" hidden="false" customHeight="false" outlineLevel="0" collapsed="false">
      <c r="A21" s="2" t="s">
        <v>83</v>
      </c>
      <c r="B21" s="2" t="s">
        <v>84</v>
      </c>
      <c r="C21" s="2" t="s">
        <v>20</v>
      </c>
      <c r="D21" s="2" t="s">
        <v>40</v>
      </c>
      <c r="E21" s="2" t="s">
        <v>35</v>
      </c>
      <c r="F21" s="2" t="s">
        <v>75</v>
      </c>
      <c r="G21" s="2" t="s">
        <v>54</v>
      </c>
      <c r="H21" s="3" t="n">
        <v>13695</v>
      </c>
      <c r="I21" s="3" t="n">
        <v>18588</v>
      </c>
      <c r="J21" s="3" t="n">
        <v>682</v>
      </c>
      <c r="K21" s="3" t="n">
        <v>85</v>
      </c>
      <c r="L21" s="3" t="n">
        <v>104</v>
      </c>
      <c r="M21" s="3" t="n">
        <v>166</v>
      </c>
      <c r="N21" s="3" t="n">
        <v>237</v>
      </c>
      <c r="O21" s="4" t="n">
        <f aca="false">SUM(J21:M21)</f>
        <v>1037</v>
      </c>
      <c r="P21" s="5" t="n">
        <f aca="false">IFERROR(O21/H21,0)</f>
        <v>0.0757210660825119</v>
      </c>
      <c r="Q21" s="5" t="n">
        <f aca="false">IFERROR(N21/I21,0)</f>
        <v>0.012750161394448</v>
      </c>
      <c r="R21" s="6" t="n">
        <f aca="false">RANK(P21,$P$2:$P$41,0)+COUNTIF($P$2:P21,P21)-1</f>
        <v>13</v>
      </c>
    </row>
    <row r="22" customFormat="false" ht="15" hidden="false" customHeight="false" outlineLevel="0" collapsed="false">
      <c r="A22" s="2" t="s">
        <v>85</v>
      </c>
      <c r="B22" s="2" t="s">
        <v>86</v>
      </c>
      <c r="C22" s="2" t="s">
        <v>27</v>
      </c>
      <c r="D22" s="2" t="s">
        <v>21</v>
      </c>
      <c r="E22" s="2" t="s">
        <v>35</v>
      </c>
      <c r="F22" s="2" t="s">
        <v>63</v>
      </c>
      <c r="G22" s="2" t="s">
        <v>24</v>
      </c>
      <c r="H22" s="3" t="n">
        <v>5129</v>
      </c>
      <c r="I22" s="3" t="n">
        <v>8650</v>
      </c>
      <c r="J22" s="3" t="n">
        <v>321</v>
      </c>
      <c r="K22" s="3" t="n">
        <v>40</v>
      </c>
      <c r="L22" s="3" t="n">
        <v>49</v>
      </c>
      <c r="M22" s="3" t="n">
        <v>78</v>
      </c>
      <c r="N22" s="3" t="n">
        <v>160</v>
      </c>
      <c r="O22" s="4" t="n">
        <f aca="false">SUM(J22:M22)</f>
        <v>488</v>
      </c>
      <c r="P22" s="5" t="n">
        <f aca="false">IFERROR(O22/H22,0)</f>
        <v>0.0951452524858647</v>
      </c>
      <c r="Q22" s="5" t="n">
        <f aca="false">IFERROR(N22/I22,0)</f>
        <v>0.0184971098265896</v>
      </c>
      <c r="R22" s="6" t="n">
        <f aca="false">RANK(P22,$P$2:$P$41,0)+COUNTIF($P$2:P22,P22)-1</f>
        <v>8</v>
      </c>
    </row>
    <row r="23" customFormat="false" ht="15" hidden="false" customHeight="false" outlineLevel="0" collapsed="false">
      <c r="A23" s="2" t="s">
        <v>87</v>
      </c>
      <c r="B23" s="2" t="s">
        <v>88</v>
      </c>
      <c r="C23" s="2" t="s">
        <v>33</v>
      </c>
      <c r="D23" s="2" t="s">
        <v>28</v>
      </c>
      <c r="E23" s="2" t="s">
        <v>46</v>
      </c>
      <c r="F23" s="2" t="s">
        <v>47</v>
      </c>
      <c r="G23" s="2" t="s">
        <v>36</v>
      </c>
      <c r="H23" s="3" t="n">
        <v>1602</v>
      </c>
      <c r="I23" s="3" t="n">
        <v>2354</v>
      </c>
      <c r="J23" s="3" t="n">
        <v>26</v>
      </c>
      <c r="K23" s="3" t="n">
        <v>3</v>
      </c>
      <c r="L23" s="3" t="n">
        <v>4</v>
      </c>
      <c r="M23" s="3" t="n">
        <v>2</v>
      </c>
      <c r="N23" s="3" t="n">
        <v>49</v>
      </c>
      <c r="O23" s="4" t="n">
        <f aca="false">SUM(J23:M23)</f>
        <v>35</v>
      </c>
      <c r="P23" s="5" t="n">
        <f aca="false">IFERROR(O23/H23,0)</f>
        <v>0.0218476903870162</v>
      </c>
      <c r="Q23" s="5" t="n">
        <f aca="false">IFERROR(N23/I23,0)</f>
        <v>0.0208156329651657</v>
      </c>
      <c r="R23" s="6" t="n">
        <f aca="false">RANK(P23,$P$2:$P$41,0)+COUNTIF($P$2:P23,P23)-1</f>
        <v>35</v>
      </c>
    </row>
    <row r="24" customFormat="false" ht="15" hidden="false" customHeight="false" outlineLevel="0" collapsed="false">
      <c r="A24" s="2" t="s">
        <v>89</v>
      </c>
      <c r="B24" s="2" t="s">
        <v>90</v>
      </c>
      <c r="C24" s="2" t="s">
        <v>39</v>
      </c>
      <c r="D24" s="2" t="s">
        <v>34</v>
      </c>
      <c r="E24" s="2" t="s">
        <v>35</v>
      </c>
      <c r="F24" s="2" t="s">
        <v>23</v>
      </c>
      <c r="G24" s="2" t="s">
        <v>30</v>
      </c>
      <c r="H24" s="3" t="n">
        <v>7288</v>
      </c>
      <c r="I24" s="3" t="n">
        <v>9388</v>
      </c>
      <c r="J24" s="3" t="n">
        <v>240</v>
      </c>
      <c r="K24" s="3" t="n">
        <v>30</v>
      </c>
      <c r="L24" s="3" t="n">
        <v>36</v>
      </c>
      <c r="M24" s="3" t="n">
        <v>58</v>
      </c>
      <c r="N24" s="3" t="n">
        <v>182</v>
      </c>
      <c r="O24" s="4" t="n">
        <f aca="false">SUM(J24:M24)</f>
        <v>364</v>
      </c>
      <c r="P24" s="5" t="n">
        <f aca="false">IFERROR(O24/H24,0)</f>
        <v>0.0499451152579583</v>
      </c>
      <c r="Q24" s="5" t="n">
        <f aca="false">IFERROR(N24/I24,0)</f>
        <v>0.0193864507882403</v>
      </c>
      <c r="R24" s="6" t="n">
        <f aca="false">RANK(P24,$P$2:$P$41,0)+COUNTIF($P$2:P24,P24)-1</f>
        <v>21</v>
      </c>
    </row>
    <row r="25" customFormat="false" ht="15" hidden="false" customHeight="false" outlineLevel="0" collapsed="false">
      <c r="A25" s="2" t="s">
        <v>91</v>
      </c>
      <c r="B25" s="2" t="s">
        <v>92</v>
      </c>
      <c r="C25" s="2" t="s">
        <v>52</v>
      </c>
      <c r="D25" s="2" t="s">
        <v>40</v>
      </c>
      <c r="E25" s="2" t="s">
        <v>58</v>
      </c>
      <c r="F25" s="2" t="s">
        <v>47</v>
      </c>
      <c r="G25" s="2" t="s">
        <v>36</v>
      </c>
      <c r="H25" s="3" t="n">
        <v>6243</v>
      </c>
      <c r="I25" s="3" t="n">
        <v>9773</v>
      </c>
      <c r="J25" s="3" t="n">
        <v>160</v>
      </c>
      <c r="K25" s="3" t="n">
        <v>20</v>
      </c>
      <c r="L25" s="3" t="n">
        <v>24</v>
      </c>
      <c r="M25" s="3" t="n">
        <v>17</v>
      </c>
      <c r="N25" s="3" t="n">
        <v>132</v>
      </c>
      <c r="O25" s="4" t="n">
        <f aca="false">SUM(J25:M25)</f>
        <v>221</v>
      </c>
      <c r="P25" s="5" t="n">
        <f aca="false">IFERROR(O25/H25,0)</f>
        <v>0.035399647605318</v>
      </c>
      <c r="Q25" s="5" t="n">
        <f aca="false">IFERROR(N25/I25,0)</f>
        <v>0.0135065998158191</v>
      </c>
      <c r="R25" s="6" t="n">
        <f aca="false">RANK(P25,$P$2:$P$41,0)+COUNTIF($P$2:P25,P25)-1</f>
        <v>30</v>
      </c>
    </row>
    <row r="26" customFormat="false" ht="15" hidden="false" customHeight="false" outlineLevel="0" collapsed="false">
      <c r="A26" s="2" t="s">
        <v>93</v>
      </c>
      <c r="B26" s="2" t="s">
        <v>94</v>
      </c>
      <c r="C26" s="2" t="s">
        <v>33</v>
      </c>
      <c r="D26" s="2" t="s">
        <v>21</v>
      </c>
      <c r="E26" s="2" t="s">
        <v>35</v>
      </c>
      <c r="F26" s="2" t="s">
        <v>80</v>
      </c>
      <c r="G26" s="2" t="s">
        <v>54</v>
      </c>
      <c r="H26" s="3" t="n">
        <v>3419</v>
      </c>
      <c r="I26" s="3" t="n">
        <v>4489</v>
      </c>
      <c r="J26" s="3" t="n">
        <v>108</v>
      </c>
      <c r="K26" s="3" t="n">
        <v>13</v>
      </c>
      <c r="L26" s="3" t="n">
        <v>16</v>
      </c>
      <c r="M26" s="3" t="n">
        <v>26</v>
      </c>
      <c r="N26" s="3" t="n">
        <v>64</v>
      </c>
      <c r="O26" s="4" t="n">
        <f aca="false">SUM(J26:M26)</f>
        <v>163</v>
      </c>
      <c r="P26" s="5" t="n">
        <f aca="false">IFERROR(O26/H26,0)</f>
        <v>0.0476747587013747</v>
      </c>
      <c r="Q26" s="5" t="n">
        <f aca="false">IFERROR(N26/I26,0)</f>
        <v>0.0142570728447316</v>
      </c>
      <c r="R26" s="6" t="n">
        <f aca="false">RANK(P26,$P$2:$P$41,0)+COUNTIF($P$2:P26,P26)-1</f>
        <v>22</v>
      </c>
    </row>
    <row r="27" customFormat="false" ht="15" hidden="false" customHeight="false" outlineLevel="0" collapsed="false">
      <c r="A27" s="2" t="s">
        <v>95</v>
      </c>
      <c r="B27" s="2" t="s">
        <v>96</v>
      </c>
      <c r="C27" s="2" t="s">
        <v>39</v>
      </c>
      <c r="D27" s="2" t="s">
        <v>28</v>
      </c>
      <c r="E27" s="2" t="s">
        <v>46</v>
      </c>
      <c r="F27" s="2" t="s">
        <v>23</v>
      </c>
      <c r="G27" s="2" t="s">
        <v>30</v>
      </c>
      <c r="H27" s="3" t="n">
        <v>1590</v>
      </c>
      <c r="I27" s="3" t="n">
        <v>2740</v>
      </c>
      <c r="J27" s="3" t="n">
        <v>26</v>
      </c>
      <c r="K27" s="3" t="n">
        <v>3</v>
      </c>
      <c r="L27" s="3" t="n">
        <v>3</v>
      </c>
      <c r="M27" s="3" t="n">
        <v>2</v>
      </c>
      <c r="N27" s="3" t="n">
        <v>78</v>
      </c>
      <c r="O27" s="4" t="n">
        <f aca="false">SUM(J27:M27)</f>
        <v>34</v>
      </c>
      <c r="P27" s="5" t="n">
        <f aca="false">IFERROR(O27/H27,0)</f>
        <v>0.0213836477987421</v>
      </c>
      <c r="Q27" s="5" t="n">
        <f aca="false">IFERROR(N27/I27,0)</f>
        <v>0.0284671532846715</v>
      </c>
      <c r="R27" s="6" t="n">
        <f aca="false">RANK(P27,$P$2:$P$41,0)+COUNTIF($P$2:P27,P27)-1</f>
        <v>36</v>
      </c>
    </row>
    <row r="28" customFormat="false" ht="15" hidden="false" customHeight="false" outlineLevel="0" collapsed="false">
      <c r="A28" s="2" t="s">
        <v>97</v>
      </c>
      <c r="B28" s="2" t="s">
        <v>98</v>
      </c>
      <c r="C28" s="2" t="s">
        <v>52</v>
      </c>
      <c r="D28" s="2" t="s">
        <v>34</v>
      </c>
      <c r="E28" s="2" t="s">
        <v>35</v>
      </c>
      <c r="F28" s="2" t="s">
        <v>63</v>
      </c>
      <c r="G28" s="2" t="s">
        <v>54</v>
      </c>
      <c r="H28" s="3" t="n">
        <v>5645</v>
      </c>
      <c r="I28" s="3" t="n">
        <v>7729</v>
      </c>
      <c r="J28" s="3" t="n">
        <v>285</v>
      </c>
      <c r="K28" s="3" t="n">
        <v>35</v>
      </c>
      <c r="L28" s="3" t="n">
        <v>43</v>
      </c>
      <c r="M28" s="3" t="n">
        <v>69</v>
      </c>
      <c r="N28" s="3" t="n">
        <v>170</v>
      </c>
      <c r="O28" s="4" t="n">
        <f aca="false">SUM(J28:M28)</f>
        <v>432</v>
      </c>
      <c r="P28" s="5" t="n">
        <f aca="false">IFERROR(O28/H28,0)</f>
        <v>0.0765279007971656</v>
      </c>
      <c r="Q28" s="5" t="n">
        <f aca="false">IFERROR(N28/I28,0)</f>
        <v>0.0219950834519343</v>
      </c>
      <c r="R28" s="6" t="n">
        <f aca="false">RANK(P28,$P$2:$P$41,0)+COUNTIF($P$2:P28,P28)-1</f>
        <v>12</v>
      </c>
    </row>
    <row r="29" customFormat="false" ht="15" hidden="false" customHeight="false" outlineLevel="0" collapsed="false">
      <c r="A29" s="2" t="s">
        <v>99</v>
      </c>
      <c r="B29" s="2" t="s">
        <v>100</v>
      </c>
      <c r="C29" s="2" t="s">
        <v>57</v>
      </c>
      <c r="D29" s="2" t="s">
        <v>40</v>
      </c>
      <c r="E29" s="2" t="s">
        <v>22</v>
      </c>
      <c r="F29" s="2" t="s">
        <v>80</v>
      </c>
      <c r="G29" s="2" t="s">
        <v>30</v>
      </c>
      <c r="H29" s="3" t="n">
        <v>9465</v>
      </c>
      <c r="I29" s="3" t="n">
        <v>17979</v>
      </c>
      <c r="J29" s="3" t="n">
        <v>426</v>
      </c>
      <c r="K29" s="3" t="n">
        <v>53</v>
      </c>
      <c r="L29" s="3" t="n">
        <v>65</v>
      </c>
      <c r="M29" s="3" t="n">
        <v>47</v>
      </c>
      <c r="N29" s="3" t="n">
        <v>276</v>
      </c>
      <c r="O29" s="4" t="n">
        <f aca="false">SUM(J29:M29)</f>
        <v>591</v>
      </c>
      <c r="P29" s="5" t="n">
        <f aca="false">IFERROR(O29/H29,0)</f>
        <v>0.0624405705229794</v>
      </c>
      <c r="Q29" s="5" t="n">
        <f aca="false">IFERROR(N29/I29,0)</f>
        <v>0.0153512431169698</v>
      </c>
      <c r="R29" s="6" t="n">
        <f aca="false">RANK(P29,$P$2:$P$41,0)+COUNTIF($P$2:P29,P29)-1</f>
        <v>18</v>
      </c>
    </row>
    <row r="30" customFormat="false" ht="15" hidden="false" customHeight="false" outlineLevel="0" collapsed="false">
      <c r="A30" s="2" t="s">
        <v>101</v>
      </c>
      <c r="B30" s="2" t="s">
        <v>102</v>
      </c>
      <c r="C30" s="2" t="s">
        <v>68</v>
      </c>
      <c r="D30" s="2" t="s">
        <v>21</v>
      </c>
      <c r="E30" s="2" t="s">
        <v>35</v>
      </c>
      <c r="F30" s="2" t="s">
        <v>75</v>
      </c>
      <c r="G30" s="2" t="s">
        <v>54</v>
      </c>
      <c r="H30" s="3" t="n">
        <v>4163</v>
      </c>
      <c r="I30" s="3" t="n">
        <v>5782</v>
      </c>
      <c r="J30" s="3" t="n">
        <v>194</v>
      </c>
      <c r="K30" s="3" t="n">
        <v>24</v>
      </c>
      <c r="L30" s="3" t="n">
        <v>29</v>
      </c>
      <c r="M30" s="3" t="n">
        <v>47</v>
      </c>
      <c r="N30" s="3" t="n">
        <v>63</v>
      </c>
      <c r="O30" s="4" t="n">
        <f aca="false">SUM(J30:M30)</f>
        <v>294</v>
      </c>
      <c r="P30" s="5" t="n">
        <f aca="false">IFERROR(O30/H30,0)</f>
        <v>0.070622147489791</v>
      </c>
      <c r="Q30" s="5" t="n">
        <f aca="false">IFERROR(N30/I30,0)</f>
        <v>0.0108958837772397</v>
      </c>
      <c r="R30" s="6" t="n">
        <f aca="false">RANK(P30,$P$2:$P$41,0)+COUNTIF($P$2:P30,P30)-1</f>
        <v>14</v>
      </c>
    </row>
    <row r="31" customFormat="false" ht="15" hidden="false" customHeight="false" outlineLevel="0" collapsed="false">
      <c r="A31" s="2" t="s">
        <v>103</v>
      </c>
      <c r="B31" s="2" t="s">
        <v>104</v>
      </c>
      <c r="C31" s="2" t="s">
        <v>52</v>
      </c>
      <c r="D31" s="2" t="s">
        <v>21</v>
      </c>
      <c r="E31" s="2" t="s">
        <v>22</v>
      </c>
      <c r="F31" s="2" t="s">
        <v>29</v>
      </c>
      <c r="G31" s="2" t="s">
        <v>24</v>
      </c>
      <c r="H31" s="3" t="n">
        <v>9143</v>
      </c>
      <c r="I31" s="3" t="n">
        <v>16094</v>
      </c>
      <c r="J31" s="3" t="n">
        <v>844</v>
      </c>
      <c r="K31" s="3" t="n">
        <v>105</v>
      </c>
      <c r="L31" s="3" t="n">
        <v>128</v>
      </c>
      <c r="M31" s="3" t="n">
        <v>93</v>
      </c>
      <c r="N31" s="3" t="n">
        <v>269</v>
      </c>
      <c r="O31" s="4" t="n">
        <f aca="false">SUM(J31:M31)</f>
        <v>1170</v>
      </c>
      <c r="P31" s="5" t="n">
        <f aca="false">IFERROR(O31/H31,0)</f>
        <v>0.127966750519523</v>
      </c>
      <c r="Q31" s="5" t="n">
        <f aca="false">IFERROR(N31/I31,0)</f>
        <v>0.0167143034671306</v>
      </c>
      <c r="R31" s="6" t="n">
        <f aca="false">RANK(P31,$P$2:$P$41,0)+COUNTIF($P$2:P31,P31)-1</f>
        <v>2</v>
      </c>
    </row>
    <row r="32" customFormat="false" ht="15" hidden="false" customHeight="false" outlineLevel="0" collapsed="false">
      <c r="A32" s="2" t="s">
        <v>105</v>
      </c>
      <c r="B32" s="2" t="s">
        <v>106</v>
      </c>
      <c r="C32" s="2" t="s">
        <v>57</v>
      </c>
      <c r="D32" s="2" t="s">
        <v>34</v>
      </c>
      <c r="E32" s="2" t="s">
        <v>46</v>
      </c>
      <c r="F32" s="2" t="s">
        <v>75</v>
      </c>
      <c r="G32" s="2" t="s">
        <v>36</v>
      </c>
      <c r="H32" s="3" t="n">
        <v>2528</v>
      </c>
      <c r="I32" s="3" t="n">
        <v>4751</v>
      </c>
      <c r="J32" s="3" t="n">
        <v>34</v>
      </c>
      <c r="K32" s="3" t="n">
        <v>4</v>
      </c>
      <c r="L32" s="3" t="n">
        <v>5</v>
      </c>
      <c r="M32" s="3" t="n">
        <v>3</v>
      </c>
      <c r="N32" s="3" t="n">
        <v>87</v>
      </c>
      <c r="O32" s="4" t="n">
        <f aca="false">SUM(J32:M32)</f>
        <v>46</v>
      </c>
      <c r="P32" s="5" t="n">
        <f aca="false">IFERROR(O32/H32,0)</f>
        <v>0.0181962025316456</v>
      </c>
      <c r="Q32" s="5" t="n">
        <f aca="false">IFERROR(N32/I32,0)</f>
        <v>0.0183119343296148</v>
      </c>
      <c r="R32" s="6" t="n">
        <f aca="false">RANK(P32,$P$2:$P$41,0)+COUNTIF($P$2:P32,P32)-1</f>
        <v>38</v>
      </c>
    </row>
    <row r="33" customFormat="false" ht="15" hidden="false" customHeight="false" outlineLevel="0" collapsed="false">
      <c r="A33" s="2" t="s">
        <v>107</v>
      </c>
      <c r="B33" s="2" t="s">
        <v>108</v>
      </c>
      <c r="C33" s="2" t="s">
        <v>68</v>
      </c>
      <c r="D33" s="2" t="s">
        <v>40</v>
      </c>
      <c r="E33" s="2" t="s">
        <v>58</v>
      </c>
      <c r="F33" s="2" t="s">
        <v>23</v>
      </c>
      <c r="G33" s="2" t="s">
        <v>30</v>
      </c>
      <c r="H33" s="3" t="n">
        <v>8509</v>
      </c>
      <c r="I33" s="3" t="n">
        <v>13417</v>
      </c>
      <c r="J33" s="3" t="n">
        <v>227</v>
      </c>
      <c r="K33" s="3" t="n">
        <v>28</v>
      </c>
      <c r="L33" s="3" t="n">
        <v>34</v>
      </c>
      <c r="M33" s="3" t="n">
        <v>25</v>
      </c>
      <c r="N33" s="3" t="n">
        <v>191</v>
      </c>
      <c r="O33" s="4" t="n">
        <f aca="false">SUM(J33:M33)</f>
        <v>314</v>
      </c>
      <c r="P33" s="5" t="n">
        <f aca="false">IFERROR(O33/H33,0)</f>
        <v>0.0369021036549536</v>
      </c>
      <c r="Q33" s="5" t="n">
        <f aca="false">IFERROR(N33/I33,0)</f>
        <v>0.0142356711634494</v>
      </c>
      <c r="R33" s="6" t="n">
        <f aca="false">RANK(P33,$P$2:$P$41,0)+COUNTIF($P$2:P33,P33)-1</f>
        <v>29</v>
      </c>
    </row>
    <row r="34" customFormat="false" ht="15" hidden="false" customHeight="false" outlineLevel="0" collapsed="false">
      <c r="A34" s="2" t="s">
        <v>109</v>
      </c>
      <c r="B34" s="2" t="s">
        <v>110</v>
      </c>
      <c r="C34" s="2" t="s">
        <v>20</v>
      </c>
      <c r="D34" s="2" t="s">
        <v>21</v>
      </c>
      <c r="E34" s="2" t="s">
        <v>22</v>
      </c>
      <c r="F34" s="2" t="s">
        <v>75</v>
      </c>
      <c r="G34" s="2" t="s">
        <v>30</v>
      </c>
      <c r="H34" s="3" t="n">
        <v>5327</v>
      </c>
      <c r="I34" s="3" t="n">
        <v>8996</v>
      </c>
      <c r="J34" s="3" t="n">
        <v>267</v>
      </c>
      <c r="K34" s="3" t="n">
        <v>33</v>
      </c>
      <c r="L34" s="3" t="n">
        <v>40</v>
      </c>
      <c r="M34" s="3" t="n">
        <v>29</v>
      </c>
      <c r="N34" s="3" t="n">
        <v>104</v>
      </c>
      <c r="O34" s="4" t="n">
        <f aca="false">SUM(J34:M34)</f>
        <v>369</v>
      </c>
      <c r="P34" s="5" t="n">
        <f aca="false">IFERROR(O34/H34,0)</f>
        <v>0.0692697578374319</v>
      </c>
      <c r="Q34" s="5" t="n">
        <f aca="false">IFERROR(N34/I34,0)</f>
        <v>0.0115606936416185</v>
      </c>
      <c r="R34" s="6" t="n">
        <f aca="false">RANK(P34,$P$2:$P$41,0)+COUNTIF($P$2:P34,P34)-1</f>
        <v>15</v>
      </c>
    </row>
    <row r="35" customFormat="false" ht="15" hidden="false" customHeight="false" outlineLevel="0" collapsed="false">
      <c r="A35" s="2" t="s">
        <v>111</v>
      </c>
      <c r="B35" s="2" t="s">
        <v>112</v>
      </c>
      <c r="C35" s="2" t="s">
        <v>27</v>
      </c>
      <c r="D35" s="2" t="s">
        <v>28</v>
      </c>
      <c r="E35" s="2" t="s">
        <v>35</v>
      </c>
      <c r="F35" s="2" t="s">
        <v>23</v>
      </c>
      <c r="G35" s="2" t="s">
        <v>30</v>
      </c>
      <c r="H35" s="3" t="n">
        <v>4110</v>
      </c>
      <c r="I35" s="3" t="n">
        <v>6696</v>
      </c>
      <c r="J35" s="3" t="n">
        <v>175</v>
      </c>
      <c r="K35" s="3" t="n">
        <v>21</v>
      </c>
      <c r="L35" s="3" t="n">
        <v>26</v>
      </c>
      <c r="M35" s="3" t="n">
        <v>42</v>
      </c>
      <c r="N35" s="3" t="n">
        <v>316</v>
      </c>
      <c r="O35" s="4" t="n">
        <f aca="false">SUM(J35:M35)</f>
        <v>264</v>
      </c>
      <c r="P35" s="5" t="n">
        <f aca="false">IFERROR(O35/H35,0)</f>
        <v>0.0642335766423358</v>
      </c>
      <c r="Q35" s="5" t="n">
        <f aca="false">IFERROR(N35/I35,0)</f>
        <v>0.0471923536439665</v>
      </c>
      <c r="R35" s="6" t="n">
        <f aca="false">RANK(P35,$P$2:$P$41,0)+COUNTIF($P$2:P35,P35)-1</f>
        <v>17</v>
      </c>
    </row>
    <row r="36" customFormat="false" ht="15" hidden="false" customHeight="false" outlineLevel="0" collapsed="false">
      <c r="A36" s="2" t="s">
        <v>113</v>
      </c>
      <c r="B36" s="2" t="s">
        <v>114</v>
      </c>
      <c r="C36" s="2" t="s">
        <v>68</v>
      </c>
      <c r="D36" s="2" t="s">
        <v>34</v>
      </c>
      <c r="E36" s="2" t="s">
        <v>58</v>
      </c>
      <c r="F36" s="2" t="s">
        <v>63</v>
      </c>
      <c r="G36" s="2" t="s">
        <v>24</v>
      </c>
      <c r="H36" s="3" t="n">
        <v>7312</v>
      </c>
      <c r="I36" s="3" t="n">
        <v>12332</v>
      </c>
      <c r="J36" s="3" t="n">
        <v>237</v>
      </c>
      <c r="K36" s="3" t="n">
        <v>29</v>
      </c>
      <c r="L36" s="3" t="n">
        <v>36</v>
      </c>
      <c r="M36" s="3" t="n">
        <v>26</v>
      </c>
      <c r="N36" s="3" t="n">
        <v>197</v>
      </c>
      <c r="O36" s="4" t="n">
        <f aca="false">SUM(J36:M36)</f>
        <v>328</v>
      </c>
      <c r="P36" s="5" t="n">
        <f aca="false">IFERROR(O36/H36,0)</f>
        <v>0.0448577680525164</v>
      </c>
      <c r="Q36" s="5" t="n">
        <f aca="false">IFERROR(N36/I36,0)</f>
        <v>0.0159746999675641</v>
      </c>
      <c r="R36" s="6" t="n">
        <f aca="false">RANK(P36,$P$2:$P$41,0)+COUNTIF($P$2:P36,P36)-1</f>
        <v>25</v>
      </c>
    </row>
    <row r="37" customFormat="false" ht="15" hidden="false" customHeight="false" outlineLevel="0" collapsed="false">
      <c r="A37" s="2" t="s">
        <v>115</v>
      </c>
      <c r="B37" s="2" t="s">
        <v>116</v>
      </c>
      <c r="C37" s="2" t="s">
        <v>20</v>
      </c>
      <c r="D37" s="2" t="s">
        <v>40</v>
      </c>
      <c r="E37" s="2" t="s">
        <v>22</v>
      </c>
      <c r="F37" s="2" t="s">
        <v>23</v>
      </c>
      <c r="G37" s="2" t="s">
        <v>54</v>
      </c>
      <c r="H37" s="3" t="n">
        <v>15446</v>
      </c>
      <c r="I37" s="3" t="n">
        <v>24959</v>
      </c>
      <c r="J37" s="3" t="n">
        <v>756</v>
      </c>
      <c r="K37" s="3" t="n">
        <v>94</v>
      </c>
      <c r="L37" s="3" t="n">
        <v>115</v>
      </c>
      <c r="M37" s="3" t="n">
        <v>84</v>
      </c>
      <c r="N37" s="3" t="n">
        <v>459</v>
      </c>
      <c r="O37" s="4" t="n">
        <f aca="false">SUM(J37:M37)</f>
        <v>1049</v>
      </c>
      <c r="P37" s="5" t="n">
        <f aca="false">IFERROR(O37/H37,0)</f>
        <v>0.0679140230480383</v>
      </c>
      <c r="Q37" s="5" t="n">
        <f aca="false">IFERROR(N37/I37,0)</f>
        <v>0.018390159862174</v>
      </c>
      <c r="R37" s="6" t="n">
        <f aca="false">RANK(P37,$P$2:$P$41,0)+COUNTIF($P$2:P37,P37)-1</f>
        <v>16</v>
      </c>
    </row>
    <row r="38" customFormat="false" ht="15" hidden="false" customHeight="false" outlineLevel="0" collapsed="false">
      <c r="A38" s="2" t="s">
        <v>117</v>
      </c>
      <c r="B38" s="2" t="s">
        <v>118</v>
      </c>
      <c r="C38" s="2" t="s">
        <v>27</v>
      </c>
      <c r="D38" s="2" t="s">
        <v>21</v>
      </c>
      <c r="E38" s="2" t="s">
        <v>58</v>
      </c>
      <c r="F38" s="2" t="s">
        <v>75</v>
      </c>
      <c r="G38" s="2" t="s">
        <v>24</v>
      </c>
      <c r="H38" s="3" t="n">
        <v>5589</v>
      </c>
      <c r="I38" s="3" t="n">
        <v>10180</v>
      </c>
      <c r="J38" s="3" t="n">
        <v>179</v>
      </c>
      <c r="K38" s="3" t="n">
        <v>22</v>
      </c>
      <c r="L38" s="3" t="n">
        <v>27</v>
      </c>
      <c r="M38" s="3" t="n">
        <v>19</v>
      </c>
      <c r="N38" s="3" t="n">
        <v>121</v>
      </c>
      <c r="O38" s="4" t="n">
        <f aca="false">SUM(J38:M38)</f>
        <v>247</v>
      </c>
      <c r="P38" s="5" t="n">
        <f aca="false">IFERROR(O38/H38,0)</f>
        <v>0.0441939524065128</v>
      </c>
      <c r="Q38" s="5" t="n">
        <f aca="false">IFERROR(N38/I38,0)</f>
        <v>0.0118860510805501</v>
      </c>
      <c r="R38" s="6" t="n">
        <f aca="false">RANK(P38,$P$2:$P$41,0)+COUNTIF($P$2:P38,P38)-1</f>
        <v>26</v>
      </c>
    </row>
    <row r="39" customFormat="false" ht="15" hidden="false" customHeight="false" outlineLevel="0" collapsed="false">
      <c r="A39" s="2" t="s">
        <v>119</v>
      </c>
      <c r="B39" s="2" t="s">
        <v>120</v>
      </c>
      <c r="C39" s="2" t="s">
        <v>33</v>
      </c>
      <c r="D39" s="2" t="s">
        <v>28</v>
      </c>
      <c r="E39" s="2" t="s">
        <v>58</v>
      </c>
      <c r="F39" s="2" t="s">
        <v>23</v>
      </c>
      <c r="G39" s="2" t="s">
        <v>24</v>
      </c>
      <c r="H39" s="3" t="n">
        <v>6547</v>
      </c>
      <c r="I39" s="3" t="n">
        <v>8624</v>
      </c>
      <c r="J39" s="3" t="n">
        <v>255</v>
      </c>
      <c r="K39" s="3" t="n">
        <v>31</v>
      </c>
      <c r="L39" s="3" t="n">
        <v>38</v>
      </c>
      <c r="M39" s="3" t="n">
        <v>28</v>
      </c>
      <c r="N39" s="3" t="n">
        <v>277</v>
      </c>
      <c r="O39" s="4" t="n">
        <f aca="false">SUM(J39:M39)</f>
        <v>352</v>
      </c>
      <c r="P39" s="5" t="n">
        <f aca="false">IFERROR(O39/H39,0)</f>
        <v>0.053765083244234</v>
      </c>
      <c r="Q39" s="5" t="n">
        <f aca="false">IFERROR(N39/I39,0)</f>
        <v>0.0321196660482375</v>
      </c>
      <c r="R39" s="6" t="n">
        <f aca="false">RANK(P39,$P$2:$P$41,0)+COUNTIF($P$2:P39,P39)-1</f>
        <v>20</v>
      </c>
    </row>
    <row r="40" customFormat="false" ht="15" hidden="false" customHeight="false" outlineLevel="0" collapsed="false">
      <c r="A40" s="2" t="s">
        <v>121</v>
      </c>
      <c r="B40" s="2" t="s">
        <v>122</v>
      </c>
      <c r="C40" s="2" t="s">
        <v>39</v>
      </c>
      <c r="D40" s="2" t="s">
        <v>34</v>
      </c>
      <c r="E40" s="2" t="s">
        <v>22</v>
      </c>
      <c r="F40" s="2" t="s">
        <v>75</v>
      </c>
      <c r="G40" s="2" t="s">
        <v>24</v>
      </c>
      <c r="H40" s="3" t="n">
        <v>10845</v>
      </c>
      <c r="I40" s="3" t="n">
        <v>15041</v>
      </c>
      <c r="J40" s="3" t="n">
        <v>834</v>
      </c>
      <c r="K40" s="3" t="n">
        <v>104</v>
      </c>
      <c r="L40" s="3" t="n">
        <v>127</v>
      </c>
      <c r="M40" s="3" t="n">
        <v>92</v>
      </c>
      <c r="N40" s="3" t="n">
        <v>301</v>
      </c>
      <c r="O40" s="4" t="n">
        <f aca="false">SUM(J40:M40)</f>
        <v>1157</v>
      </c>
      <c r="P40" s="5" t="n">
        <f aca="false">IFERROR(O40/H40,0)</f>
        <v>0.106685108344859</v>
      </c>
      <c r="Q40" s="5" t="n">
        <f aca="false">IFERROR(N40/I40,0)</f>
        <v>0.020011967289409</v>
      </c>
      <c r="R40" s="6" t="n">
        <f aca="false">RANK(P40,$P$2:$P$41,0)+COUNTIF($P$2:P40,P40)-1</f>
        <v>3</v>
      </c>
    </row>
    <row r="41" customFormat="false" ht="15" hidden="false" customHeight="false" outlineLevel="0" collapsed="false">
      <c r="A41" s="2" t="s">
        <v>123</v>
      </c>
      <c r="B41" s="2" t="s">
        <v>124</v>
      </c>
      <c r="C41" s="2" t="s">
        <v>27</v>
      </c>
      <c r="D41" s="2" t="s">
        <v>28</v>
      </c>
      <c r="E41" s="2" t="s">
        <v>46</v>
      </c>
      <c r="F41" s="2" t="s">
        <v>53</v>
      </c>
      <c r="G41" s="2" t="s">
        <v>30</v>
      </c>
      <c r="H41" s="3" t="n">
        <v>1631</v>
      </c>
      <c r="I41" s="3" t="n">
        <v>2487</v>
      </c>
      <c r="J41" s="3" t="n">
        <v>18</v>
      </c>
      <c r="K41" s="3" t="n">
        <v>2</v>
      </c>
      <c r="L41" s="3" t="n">
        <v>2</v>
      </c>
      <c r="M41" s="3" t="n">
        <v>2</v>
      </c>
      <c r="N41" s="3" t="n">
        <v>65</v>
      </c>
      <c r="O41" s="4" t="n">
        <f aca="false">SUM(J41:M41)</f>
        <v>24</v>
      </c>
      <c r="P41" s="5" t="n">
        <f aca="false">IFERROR(O41/H41,0)</f>
        <v>0.0147148988350705</v>
      </c>
      <c r="Q41" s="5" t="n">
        <f aca="false">IFERROR(N41/I41,0)</f>
        <v>0.0261359067149176</v>
      </c>
      <c r="R41" s="6" t="n">
        <f aca="false">RANK(P41,$P$2:$P$41,0)+COUNTIF($P$2:P41,P41)-1</f>
        <v>40</v>
      </c>
    </row>
    <row r="43" customFormat="false" ht="15" hidden="false" customHeight="false" outlineLevel="0" collapsed="false">
      <c r="A43" s="7" t="s">
        <v>125</v>
      </c>
    </row>
  </sheetData>
  <autoFilter ref="A1:R41"/>
  <conditionalFormatting sqref="P2:P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8" t="s">
        <v>126</v>
      </c>
    </row>
    <row r="3" customFormat="false" ht="15" hidden="false" customHeight="false" outlineLevel="0" collapsed="false">
      <c r="A3" s="1" t="s">
        <v>127</v>
      </c>
      <c r="B3" s="1" t="s">
        <v>128</v>
      </c>
    </row>
    <row r="4" customFormat="false" ht="15" hidden="false" customHeight="false" outlineLevel="0" collapsed="false">
      <c r="A4" s="6" t="s">
        <v>129</v>
      </c>
      <c r="B4" s="9" t="n">
        <f aca="false">COUNTA('Raw Data'!A2:A41)</f>
        <v>40</v>
      </c>
    </row>
    <row r="5" customFormat="false" ht="15" hidden="false" customHeight="false" outlineLevel="0" collapsed="false">
      <c r="A5" s="6" t="s">
        <v>130</v>
      </c>
      <c r="B5" s="10" t="n">
        <f aca="false">SUM('Raw Data'!H2:H41)</f>
        <v>263696</v>
      </c>
    </row>
    <row r="6" customFormat="false" ht="15" hidden="false" customHeight="false" outlineLevel="0" collapsed="false">
      <c r="A6" s="6" t="s">
        <v>131</v>
      </c>
      <c r="B6" s="10" t="n">
        <f aca="false">SUM('Raw Data'!I2:I41)</f>
        <v>413428</v>
      </c>
    </row>
    <row r="7" customFormat="false" ht="15" hidden="false" customHeight="false" outlineLevel="0" collapsed="false">
      <c r="A7" s="6" t="s">
        <v>132</v>
      </c>
      <c r="B7" s="10" t="n">
        <f aca="false">SUM('Raw Data'!O2:O41)</f>
        <v>17994</v>
      </c>
    </row>
    <row r="8" customFormat="false" ht="15" hidden="false" customHeight="false" outlineLevel="0" collapsed="false">
      <c r="A8" s="6" t="s">
        <v>133</v>
      </c>
      <c r="B8" s="10" t="n">
        <f aca="false">SUM('Raw Data'!N2:N41)</f>
        <v>7918</v>
      </c>
    </row>
    <row r="9" customFormat="false" ht="15" hidden="false" customHeight="false" outlineLevel="0" collapsed="false">
      <c r="A9" s="6" t="s">
        <v>134</v>
      </c>
      <c r="B9" s="11" t="n">
        <f aca="false">AVERAGE('Raw Data'!P2:P41)</f>
        <v>0.0593093262634696</v>
      </c>
    </row>
    <row r="10" customFormat="false" ht="15" hidden="false" customHeight="false" outlineLevel="0" collapsed="false">
      <c r="A10" s="6" t="s">
        <v>135</v>
      </c>
      <c r="B10" s="11" t="n">
        <f aca="false">B7/B5</f>
        <v>0.0682376676172562</v>
      </c>
    </row>
    <row r="11" customFormat="false" ht="15" hidden="false" customHeight="false" outlineLevel="0" collapsed="false">
      <c r="A11" s="6" t="s">
        <v>136</v>
      </c>
      <c r="B11" s="11" t="n">
        <f aca="false">AVERAGE('Raw Data'!Q2:Q41)</f>
        <v>0.0196771601570025</v>
      </c>
    </row>
    <row r="12" customFormat="false" ht="15" hidden="false" customHeight="false" outlineLevel="0" collapsed="false">
      <c r="A12" s="6" t="s">
        <v>137</v>
      </c>
      <c r="B12" s="12" t="n">
        <f aca="false">B6/B5</f>
        <v>1.56782052059948</v>
      </c>
    </row>
    <row r="15" customFormat="false" ht="15" hidden="false" customHeight="false" outlineLevel="0" collapsed="false">
      <c r="A15" s="13" t="s">
        <v>138</v>
      </c>
    </row>
    <row r="16" customFormat="false" ht="26.85" hidden="false" customHeight="false" outlineLevel="0" collapsed="false">
      <c r="A16" s="1" t="s">
        <v>139</v>
      </c>
      <c r="B16" s="1" t="s">
        <v>140</v>
      </c>
      <c r="C16" s="1" t="s">
        <v>141</v>
      </c>
      <c r="D16" s="1" t="s">
        <v>142</v>
      </c>
      <c r="E16" s="1" t="s">
        <v>143</v>
      </c>
      <c r="F16" s="1" t="s">
        <v>144</v>
      </c>
      <c r="G16" s="1" t="s">
        <v>136</v>
      </c>
      <c r="H16" s="1" t="s">
        <v>145</v>
      </c>
    </row>
    <row r="17" customFormat="false" ht="15" hidden="false" customHeight="false" outlineLevel="0" collapsed="false">
      <c r="A17" s="6" t="s">
        <v>22</v>
      </c>
      <c r="B17" s="6" t="n">
        <f aca="false">COUNTIF('Raw Data'!$E$2:$E$41,A17)</f>
        <v>11</v>
      </c>
      <c r="C17" s="4" t="n">
        <f aca="false">IFERROR(AVERAGEIF('Raw Data'!$E$2:$E$41,A17,'Raw Data'!$H$2:$H$41),0)</f>
        <v>8938.18181818182</v>
      </c>
      <c r="D17" s="4" t="n">
        <f aca="false">IFERROR(AVERAGEIF('Raw Data'!$E$2:$E$41,A17,'Raw Data'!$I$2:$I$41),0)</f>
        <v>14566.1818181818</v>
      </c>
      <c r="E17" s="4" t="n">
        <f aca="false">IFERROR(AVERAGEIF('Raw Data'!$E$2:$E$41,A17,'Raw Data'!$O$2:$O$41),0)</f>
        <v>800.909090909091</v>
      </c>
      <c r="F17" s="5" t="n">
        <f aca="false">IFERROR(AVERAGEIF('Raw Data'!$E$2:$E$41,A17,'Raw Data'!$P$2:$P$41),0)</f>
        <v>0.0903096826859629</v>
      </c>
      <c r="G17" s="5" t="n">
        <f aca="false">IFERROR(AVERAGEIF('Raw Data'!$E$2:$E$41,A17,'Raw Data'!$Q$2:$Q$41),0)</f>
        <v>0.0202192414783462</v>
      </c>
      <c r="H17" s="4" t="n">
        <f aca="false">IFERROR(AVERAGEIF('Raw Data'!$E$2:$E$41,A17,'Raw Data'!$M$2:$M$41),0)</f>
        <v>63.6363636363636</v>
      </c>
    </row>
    <row r="18" customFormat="false" ht="15" hidden="false" customHeight="false" outlineLevel="0" collapsed="false">
      <c r="A18" s="6" t="s">
        <v>35</v>
      </c>
      <c r="B18" s="6" t="n">
        <f aca="false">COUNTIF('Raw Data'!$E$2:$E$41,A18)</f>
        <v>12</v>
      </c>
      <c r="C18" s="4" t="n">
        <f aca="false">IFERROR(AVERAGEIF('Raw Data'!$E$2:$E$41,A18,'Raw Data'!$H$2:$H$41),0)</f>
        <v>7090.25</v>
      </c>
      <c r="D18" s="4" t="n">
        <f aca="false">IFERROR(AVERAGEIF('Raw Data'!$E$2:$E$41,A18,'Raw Data'!$I$2:$I$41),0)</f>
        <v>10469.75</v>
      </c>
      <c r="E18" s="4" t="n">
        <f aca="false">IFERROR(AVERAGEIF('Raw Data'!$E$2:$E$41,A18,'Raw Data'!$O$2:$O$41),0)</f>
        <v>533.166666666667</v>
      </c>
      <c r="F18" s="5" t="n">
        <f aca="false">IFERROR(AVERAGEIF('Raw Data'!$E$2:$E$41,A18,'Raw Data'!$P$2:$P$41),0)</f>
        <v>0.0707596738987206</v>
      </c>
      <c r="G18" s="5" t="n">
        <f aca="false">IFERROR(AVERAGEIF('Raw Data'!$E$2:$E$41,A18,'Raw Data'!$Q$2:$Q$41),0)</f>
        <v>0.0196141018593825</v>
      </c>
      <c r="H18" s="4" t="n">
        <f aca="false">IFERROR(AVERAGEIF('Raw Data'!$E$2:$E$41,A18,'Raw Data'!$M$2:$M$41),0)</f>
        <v>85.3333333333333</v>
      </c>
    </row>
    <row r="19" customFormat="false" ht="15" hidden="false" customHeight="false" outlineLevel="0" collapsed="false">
      <c r="A19" s="6" t="s">
        <v>58</v>
      </c>
      <c r="B19" s="6" t="n">
        <f aca="false">COUNTIF('Raw Data'!$E$2:$E$41,A19)</f>
        <v>10</v>
      </c>
      <c r="C19" s="4" t="n">
        <f aca="false">IFERROR(AVERAGEIF('Raw Data'!$E$2:$E$41,A19,'Raw Data'!$H$2:$H$41),0)</f>
        <v>6106.8</v>
      </c>
      <c r="D19" s="4" t="n">
        <f aca="false">IFERROR(AVERAGEIF('Raw Data'!$E$2:$E$41,A19,'Raw Data'!$I$2:$I$41),0)</f>
        <v>9727.4</v>
      </c>
      <c r="E19" s="4" t="n">
        <f aca="false">IFERROR(AVERAGEIF('Raw Data'!$E$2:$E$41,A19,'Raw Data'!$O$2:$O$41),0)</f>
        <v>234</v>
      </c>
      <c r="F19" s="5" t="n">
        <f aca="false">IFERROR(AVERAGEIF('Raw Data'!$E$2:$E$41,A19,'Raw Data'!$P$2:$P$41),0)</f>
        <v>0.0373960895315216</v>
      </c>
      <c r="G19" s="5" t="n">
        <f aca="false">IFERROR(AVERAGEIF('Raw Data'!$E$2:$E$41,A19,'Raw Data'!$Q$2:$Q$41),0)</f>
        <v>0.0178191730597318</v>
      </c>
      <c r="H19" s="4" t="n">
        <f aca="false">IFERROR(AVERAGEIF('Raw Data'!$E$2:$E$41,A19,'Raw Data'!$M$2:$M$41),0)</f>
        <v>18.4</v>
      </c>
    </row>
    <row r="20" customFormat="false" ht="15" hidden="false" customHeight="false" outlineLevel="0" collapsed="false">
      <c r="A20" s="6" t="s">
        <v>46</v>
      </c>
      <c r="B20" s="6" t="n">
        <f aca="false">COUNTIF('Raw Data'!$E$2:$E$41,A20)</f>
        <v>7</v>
      </c>
      <c r="C20" s="4" t="n">
        <f aca="false">IFERROR(AVERAGEIF('Raw Data'!$E$2:$E$41,A20,'Raw Data'!$H$2:$H$41),0)</f>
        <v>2746.42857142857</v>
      </c>
      <c r="D20" s="4" t="n">
        <f aca="false">IFERROR(AVERAGEIF('Raw Data'!$E$2:$E$41,A20,'Raw Data'!$I$2:$I$41),0)</f>
        <v>4327</v>
      </c>
      <c r="E20" s="4" t="n">
        <f aca="false">IFERROR(AVERAGEIF('Raw Data'!$E$2:$E$41,A20,'Raw Data'!$O$2:$O$41),0)</f>
        <v>63.7142857142857</v>
      </c>
      <c r="F20" s="5" t="n">
        <f aca="false">IFERROR(AVERAGEIF('Raw Data'!$E$2:$E$41,A20,'Raw Data'!$P$2:$P$41),0)</f>
        <v>0.022269936984761</v>
      </c>
      <c r="G20" s="5" t="n">
        <f aca="false">IFERROR(AVERAGEIF('Raw Data'!$E$2:$E$41,A20,'Raw Data'!$Q$2:$Q$41),0)</f>
        <v>0.0215876853011977</v>
      </c>
      <c r="H20" s="4" t="n">
        <f aca="false">IFERROR(AVERAGEIF('Raw Data'!$E$2:$E$41,A20,'Raw Data'!$M$2:$M$41),0)</f>
        <v>4.57142857142857</v>
      </c>
    </row>
    <row r="23" customFormat="false" ht="15" hidden="false" customHeight="false" outlineLevel="0" collapsed="false">
      <c r="A23" s="13" t="s">
        <v>146</v>
      </c>
    </row>
    <row r="24" customFormat="false" ht="26.85" hidden="false" customHeight="false" outlineLevel="0" collapsed="false">
      <c r="A24" s="1" t="s">
        <v>139</v>
      </c>
      <c r="B24" s="1" t="s">
        <v>140</v>
      </c>
      <c r="C24" s="1" t="s">
        <v>141</v>
      </c>
      <c r="D24" s="1" t="s">
        <v>142</v>
      </c>
      <c r="E24" s="1" t="s">
        <v>143</v>
      </c>
      <c r="F24" s="1" t="s">
        <v>144</v>
      </c>
      <c r="G24" s="1" t="s">
        <v>136</v>
      </c>
      <c r="H24" s="1" t="s">
        <v>145</v>
      </c>
    </row>
    <row r="25" customFormat="false" ht="15" hidden="false" customHeight="false" outlineLevel="0" collapsed="false">
      <c r="A25" s="6" t="s">
        <v>40</v>
      </c>
      <c r="B25" s="6" t="n">
        <f aca="false">COUNTIF('Raw Data'!$D$2:$D$41,A25)</f>
        <v>10</v>
      </c>
      <c r="C25" s="4" t="n">
        <f aca="false">IFERROR(AVERAGEIF('Raw Data'!$D$2:$D$41,A25,'Raw Data'!$H$2:$H$41),0)</f>
        <v>10899.8</v>
      </c>
      <c r="D25" s="4" t="n">
        <f aca="false">IFERROR(AVERAGEIF('Raw Data'!$D$2:$D$41,A25,'Raw Data'!$I$2:$I$41),0)</f>
        <v>16680.1</v>
      </c>
      <c r="E25" s="4" t="n">
        <f aca="false">IFERROR(AVERAGEIF('Raw Data'!$D$2:$D$41,A25,'Raw Data'!$O$2:$O$41),0)</f>
        <v>745.2</v>
      </c>
      <c r="F25" s="5" t="n">
        <f aca="false">IFERROR(AVERAGEIF('Raw Data'!$D$2:$D$41,A25,'Raw Data'!$P$2:$P$41),0)</f>
        <v>0.0619841734484152</v>
      </c>
      <c r="G25" s="5" t="n">
        <f aca="false">IFERROR(AVERAGEIF('Raw Data'!$D$2:$D$41,A25,'Raw Data'!$Q$2:$Q$41),0)</f>
        <v>0.0157164012720257</v>
      </c>
      <c r="H25" s="4" t="n">
        <f aca="false">IFERROR(AVERAGEIF('Raw Data'!$D$2:$D$41,A25,'Raw Data'!$M$2:$M$41),0)</f>
        <v>87</v>
      </c>
    </row>
    <row r="26" customFormat="false" ht="15" hidden="false" customHeight="false" outlineLevel="0" collapsed="false">
      <c r="A26" s="6" t="s">
        <v>34</v>
      </c>
      <c r="B26" s="6" t="n">
        <f aca="false">COUNTIF('Raw Data'!$D$2:$D$41,A26)</f>
        <v>10</v>
      </c>
      <c r="C26" s="4" t="n">
        <f aca="false">IFERROR(AVERAGEIF('Raw Data'!$D$2:$D$41,A26,'Raw Data'!$H$2:$H$41),0)</f>
        <v>6655.6</v>
      </c>
      <c r="D26" s="4" t="n">
        <f aca="false">IFERROR(AVERAGEIF('Raw Data'!$D$2:$D$41,A26,'Raw Data'!$I$2:$I$41),0)</f>
        <v>10783.3</v>
      </c>
      <c r="E26" s="4" t="n">
        <f aca="false">IFERROR(AVERAGEIF('Raw Data'!$D$2:$D$41,A26,'Raw Data'!$O$2:$O$41),0)</f>
        <v>420.7</v>
      </c>
      <c r="F26" s="5" t="n">
        <f aca="false">IFERROR(AVERAGEIF('Raw Data'!$D$2:$D$41,A26,'Raw Data'!$P$2:$P$41),0)</f>
        <v>0.0572028802824531</v>
      </c>
      <c r="G26" s="5" t="n">
        <f aca="false">IFERROR(AVERAGEIF('Raw Data'!$D$2:$D$41,A26,'Raw Data'!$Q$2:$Q$41),0)</f>
        <v>0.0211391266700941</v>
      </c>
      <c r="H26" s="4" t="n">
        <f aca="false">IFERROR(AVERAGEIF('Raw Data'!$D$2:$D$41,A26,'Raw Data'!$M$2:$M$41),0)</f>
        <v>46.2</v>
      </c>
    </row>
    <row r="27" customFormat="false" ht="15" hidden="false" customHeight="false" outlineLevel="0" collapsed="false">
      <c r="A27" s="6" t="s">
        <v>28</v>
      </c>
      <c r="B27" s="6" t="n">
        <f aca="false">COUNTIF('Raw Data'!$D$2:$D$41,A27)</f>
        <v>9</v>
      </c>
      <c r="C27" s="4" t="n">
        <f aca="false">IFERROR(AVERAGEIF('Raw Data'!$D$2:$D$41,A27,'Raw Data'!$H$2:$H$41),0)</f>
        <v>3653.22222222222</v>
      </c>
      <c r="D27" s="4" t="n">
        <f aca="false">IFERROR(AVERAGEIF('Raw Data'!$D$2:$D$41,A27,'Raw Data'!$I$2:$I$41),0)</f>
        <v>5494.33333333333</v>
      </c>
      <c r="E27" s="4" t="n">
        <f aca="false">IFERROR(AVERAGEIF('Raw Data'!$D$2:$D$41,A27,'Raw Data'!$O$2:$O$41),0)</f>
        <v>222.444444444444</v>
      </c>
      <c r="F27" s="5" t="n">
        <f aca="false">IFERROR(AVERAGEIF('Raw Data'!$D$2:$D$41,A27,'Raw Data'!$P$2:$P$41),0)</f>
        <v>0.0489070747198149</v>
      </c>
      <c r="G27" s="5" t="n">
        <f aca="false">IFERROR(AVERAGEIF('Raw Data'!$D$2:$D$41,A27,'Raw Data'!$Q$2:$Q$41),0)</f>
        <v>0.0282193835456293</v>
      </c>
      <c r="H27" s="4" t="n">
        <f aca="false">IFERROR(AVERAGEIF('Raw Data'!$D$2:$D$41,A27,'Raw Data'!$M$2:$M$41),0)</f>
        <v>19.7777777777778</v>
      </c>
    </row>
    <row r="28" customFormat="false" ht="15" hidden="false" customHeight="false" outlineLevel="0" collapsed="false">
      <c r="A28" s="6" t="s">
        <v>21</v>
      </c>
      <c r="B28" s="6" t="n">
        <f aca="false">COUNTIF('Raw Data'!$D$2:$D$41,A28)</f>
        <v>11</v>
      </c>
      <c r="C28" s="4" t="n">
        <f aca="false">IFERROR(AVERAGEIF('Raw Data'!$D$2:$D$41,A28,'Raw Data'!$H$2:$H$41),0)</f>
        <v>5023.90909090909</v>
      </c>
      <c r="D28" s="4" t="n">
        <f aca="false">IFERROR(AVERAGEIF('Raw Data'!$D$2:$D$41,A28,'Raw Data'!$I$2:$I$41),0)</f>
        <v>8122.27272727273</v>
      </c>
      <c r="E28" s="4" t="n">
        <f aca="false">IFERROR(AVERAGEIF('Raw Data'!$D$2:$D$41,A28,'Raw Data'!$O$2:$O$41),0)</f>
        <v>393.909090909091</v>
      </c>
      <c r="F28" s="5" t="n">
        <f aca="false">IFERROR(AVERAGEIF('Raw Data'!$D$2:$D$41,A28,'Raw Data'!$P$2:$P$41),0)</f>
        <v>0.0673035309774332</v>
      </c>
      <c r="G28" s="5" t="n">
        <f aca="false">IFERROR(AVERAGEIF('Raw Data'!$D$2:$D$41,A28,'Raw Data'!$Q$2:$Q$41),0)</f>
        <v>0.0149596977225672</v>
      </c>
      <c r="H28" s="4" t="n">
        <f aca="false">IFERROR(AVERAGEIF('Raw Data'!$D$2:$D$41,A28,'Raw Data'!$M$2:$M$41),0)</f>
        <v>39.0909090909091</v>
      </c>
    </row>
    <row r="31" customFormat="false" ht="15" hidden="false" customHeight="false" outlineLevel="0" collapsed="false">
      <c r="A31" s="13" t="s">
        <v>147</v>
      </c>
    </row>
    <row r="32" customFormat="false" ht="26.85" hidden="false" customHeight="false" outlineLevel="0" collapsed="false">
      <c r="A32" s="1" t="s">
        <v>139</v>
      </c>
      <c r="B32" s="1" t="s">
        <v>140</v>
      </c>
      <c r="C32" s="1" t="s">
        <v>141</v>
      </c>
      <c r="D32" s="1" t="s">
        <v>142</v>
      </c>
      <c r="E32" s="1" t="s">
        <v>143</v>
      </c>
      <c r="F32" s="1" t="s">
        <v>144</v>
      </c>
      <c r="G32" s="1" t="s">
        <v>136</v>
      </c>
      <c r="H32" s="1" t="s">
        <v>145</v>
      </c>
    </row>
    <row r="33" customFormat="false" ht="15" hidden="false" customHeight="false" outlineLevel="0" collapsed="false">
      <c r="A33" s="6" t="s">
        <v>30</v>
      </c>
      <c r="B33" s="6" t="n">
        <f aca="false">COUNTIF('Raw Data'!$G$2:$G$41,A33)</f>
        <v>11</v>
      </c>
      <c r="C33" s="4" t="n">
        <f aca="false">IFERROR(AVERAGEIF('Raw Data'!$G$2:$G$41,A33,'Raw Data'!$H$2:$H$41),0)</f>
        <v>5183.09090909091</v>
      </c>
      <c r="D33" s="4" t="n">
        <f aca="false">IFERROR(AVERAGEIF('Raw Data'!$G$2:$G$41,A33,'Raw Data'!$I$2:$I$41),0)</f>
        <v>8087</v>
      </c>
      <c r="E33" s="4" t="n">
        <f aca="false">IFERROR(AVERAGEIF('Raw Data'!$G$2:$G$41,A33,'Raw Data'!$O$2:$O$41),0)</f>
        <v>258.090909090909</v>
      </c>
      <c r="F33" s="5" t="n">
        <f aca="false">IFERROR(AVERAGEIF('Raw Data'!$G$2:$G$41,A33,'Raw Data'!$P$2:$P$41),0)</f>
        <v>0.0454663936927148</v>
      </c>
      <c r="G33" s="5" t="n">
        <f aca="false">IFERROR(AVERAGEIF('Raw Data'!$G$2:$G$41,A33,'Raw Data'!$Q$2:$Q$41),0)</f>
        <v>0.0217179535396176</v>
      </c>
      <c r="H33" s="4" t="n">
        <f aca="false">IFERROR(AVERAGEIF('Raw Data'!$G$2:$G$41,A33,'Raw Data'!$M$2:$M$41),0)</f>
        <v>24.9090909090909</v>
      </c>
    </row>
    <row r="34" customFormat="false" ht="15" hidden="false" customHeight="false" outlineLevel="0" collapsed="false">
      <c r="A34" s="6" t="s">
        <v>36</v>
      </c>
      <c r="B34" s="6" t="n">
        <f aca="false">COUNTIF('Raw Data'!$G$2:$G$41,A34)</f>
        <v>9</v>
      </c>
      <c r="C34" s="4" t="n">
        <f aca="false">IFERROR(AVERAGEIF('Raw Data'!$G$2:$G$41,A34,'Raw Data'!$H$2:$H$41),0)</f>
        <v>4887</v>
      </c>
      <c r="D34" s="4" t="n">
        <f aca="false">IFERROR(AVERAGEIF('Raw Data'!$G$2:$G$41,A34,'Raw Data'!$I$2:$I$41),0)</f>
        <v>8351.22222222222</v>
      </c>
      <c r="E34" s="4" t="n">
        <f aca="false">IFERROR(AVERAGEIF('Raw Data'!$G$2:$G$41,A34,'Raw Data'!$O$2:$O$41),0)</f>
        <v>247.111111111111</v>
      </c>
      <c r="F34" s="5" t="n">
        <f aca="false">IFERROR(AVERAGEIF('Raw Data'!$G$2:$G$41,A34,'Raw Data'!$P$2:$P$41),0)</f>
        <v>0.043647193938363</v>
      </c>
      <c r="G34" s="5" t="n">
        <f aca="false">IFERROR(AVERAGEIF('Raw Data'!$G$2:$G$41,A34,'Raw Data'!$Q$2:$Q$41),0)</f>
        <v>0.0195857870253075</v>
      </c>
      <c r="H34" s="4" t="n">
        <f aca="false">IFERROR(AVERAGEIF('Raw Data'!$G$2:$G$41,A34,'Raw Data'!$M$2:$M$41),0)</f>
        <v>28</v>
      </c>
    </row>
    <row r="35" customFormat="false" ht="15" hidden="false" customHeight="false" outlineLevel="0" collapsed="false">
      <c r="A35" s="6" t="s">
        <v>24</v>
      </c>
      <c r="B35" s="6" t="n">
        <f aca="false">COUNTIF('Raw Data'!$G$2:$G$41,A35)</f>
        <v>11</v>
      </c>
      <c r="C35" s="4" t="n">
        <f aca="false">IFERROR(AVERAGEIF('Raw Data'!$G$2:$G$41,A35,'Raw Data'!$H$2:$H$41),0)</f>
        <v>8065.72727272727</v>
      </c>
      <c r="D35" s="4" t="n">
        <f aca="false">IFERROR(AVERAGEIF('Raw Data'!$G$2:$G$41,A35,'Raw Data'!$I$2:$I$41),0)</f>
        <v>12544.9090909091</v>
      </c>
      <c r="E35" s="4" t="n">
        <f aca="false">IFERROR(AVERAGEIF('Raw Data'!$G$2:$G$41,A35,'Raw Data'!$O$2:$O$41),0)</f>
        <v>750.181818181818</v>
      </c>
      <c r="F35" s="5" t="n">
        <f aca="false">IFERROR(AVERAGEIF('Raw Data'!$G$2:$G$41,A35,'Raw Data'!$P$2:$P$41),0)</f>
        <v>0.0849211194445844</v>
      </c>
      <c r="G35" s="5" t="n">
        <f aca="false">IFERROR(AVERAGEIF('Raw Data'!$G$2:$G$41,A35,'Raw Data'!$Q$2:$Q$41),0)</f>
        <v>0.0194737283475238</v>
      </c>
      <c r="H35" s="4" t="n">
        <f aca="false">IFERROR(AVERAGEIF('Raw Data'!$G$2:$G$41,A35,'Raw Data'!$M$2:$M$41),0)</f>
        <v>75.2727272727273</v>
      </c>
    </row>
    <row r="36" customFormat="false" ht="15" hidden="false" customHeight="false" outlineLevel="0" collapsed="false">
      <c r="A36" s="6" t="s">
        <v>54</v>
      </c>
      <c r="B36" s="6" t="n">
        <f aca="false">COUNTIF('Raw Data'!$G$2:$G$41,A36)</f>
        <v>9</v>
      </c>
      <c r="C36" s="4" t="n">
        <f aca="false">IFERROR(AVERAGEIF('Raw Data'!$G$2:$G$41,A36,'Raw Data'!$H$2:$H$41),0)</f>
        <v>8219.55555555556</v>
      </c>
      <c r="D36" s="4" t="n">
        <f aca="false">IFERROR(AVERAGEIF('Raw Data'!$G$2:$G$41,A36,'Raw Data'!$I$2:$I$41),0)</f>
        <v>12368.4444444444</v>
      </c>
      <c r="E36" s="4" t="n">
        <f aca="false">IFERROR(AVERAGEIF('Raw Data'!$G$2:$G$41,A36,'Raw Data'!$O$2:$O$41),0)</f>
        <v>519.888888888889</v>
      </c>
      <c r="F36" s="5" t="n">
        <f aca="false">IFERROR(AVERAGEIF('Raw Data'!$G$2:$G$41,A36,'Raw Data'!$P$2:$P$41),0)</f>
        <v>0.0605872956203584</v>
      </c>
      <c r="G36" s="5" t="n">
        <f aca="false">IFERROR(AVERAGEIF('Raw Data'!$G$2:$G$41,A36,'Raw Data'!$Q$2:$Q$41),0)</f>
        <v>0.0175228691437531</v>
      </c>
      <c r="H36" s="4" t="n">
        <f aca="false">IFERROR(AVERAGEIF('Raw Data'!$G$2:$G$41,A36,'Raw Data'!$M$2:$M$41),0)</f>
        <v>65.1111111111111</v>
      </c>
    </row>
    <row r="39" customFormat="false" ht="15" hidden="false" customHeight="false" outlineLevel="0" collapsed="false">
      <c r="A39" s="13" t="s">
        <v>148</v>
      </c>
    </row>
    <row r="40" customFormat="false" ht="26.85" hidden="false" customHeight="false" outlineLevel="0" collapsed="false">
      <c r="A40" s="1" t="s">
        <v>139</v>
      </c>
      <c r="B40" s="1" t="s">
        <v>140</v>
      </c>
      <c r="C40" s="1" t="s">
        <v>141</v>
      </c>
      <c r="D40" s="1" t="s">
        <v>142</v>
      </c>
      <c r="E40" s="1" t="s">
        <v>143</v>
      </c>
      <c r="F40" s="1" t="s">
        <v>144</v>
      </c>
      <c r="G40" s="1" t="s">
        <v>136</v>
      </c>
      <c r="H40" s="1" t="s">
        <v>145</v>
      </c>
    </row>
    <row r="41" customFormat="false" ht="15" hidden="false" customHeight="false" outlineLevel="0" collapsed="false">
      <c r="A41" s="6" t="s">
        <v>75</v>
      </c>
      <c r="B41" s="6" t="n">
        <f aca="false">COUNTIF('Raw Data'!$F$2:$F$41,A41)</f>
        <v>7</v>
      </c>
      <c r="C41" s="4" t="n">
        <f aca="false">IFERROR(AVERAGEIF('Raw Data'!$F$2:$F$41,A41,'Raw Data'!$H$2:$H$41),0)</f>
        <v>7435.28571428572</v>
      </c>
      <c r="D41" s="4" t="n">
        <f aca="false">IFERROR(AVERAGEIF('Raw Data'!$F$2:$F$41,A41,'Raw Data'!$I$2:$I$41),0)</f>
        <v>11090.4285714286</v>
      </c>
      <c r="E41" s="4" t="n">
        <f aca="false">IFERROR(AVERAGEIF('Raw Data'!$F$2:$F$41,A41,'Raw Data'!$O$2:$O$41),0)</f>
        <v>499.857142857143</v>
      </c>
      <c r="F41" s="5" t="n">
        <f aca="false">IFERROR(AVERAGEIF('Raw Data'!$F$2:$F$41,A41,'Raw Data'!$P$2:$P$41),0)</f>
        <v>0.0599915371350397</v>
      </c>
      <c r="G41" s="5" t="n">
        <f aca="false">IFERROR(AVERAGEIF('Raw Data'!$F$2:$F$41,A41,'Raw Data'!$Q$2:$Q$41),0)</f>
        <v>0.0140212022702905</v>
      </c>
      <c r="H41" s="4" t="n">
        <f aca="false">IFERROR(AVERAGEIF('Raw Data'!$F$2:$F$41,A41,'Raw Data'!$M$2:$M$41),0)</f>
        <v>54.8571428571429</v>
      </c>
    </row>
    <row r="42" customFormat="false" ht="15" hidden="false" customHeight="false" outlineLevel="0" collapsed="false">
      <c r="A42" s="6" t="s">
        <v>63</v>
      </c>
      <c r="B42" s="6" t="n">
        <f aca="false">COUNTIF('Raw Data'!$F$2:$F$41,A42)</f>
        <v>4</v>
      </c>
      <c r="C42" s="4" t="n">
        <f aca="false">IFERROR(AVERAGEIF('Raw Data'!$F$2:$F$41,A42,'Raw Data'!$H$2:$H$41),0)</f>
        <v>5927.5</v>
      </c>
      <c r="D42" s="4" t="n">
        <f aca="false">IFERROR(AVERAGEIF('Raw Data'!$F$2:$F$41,A42,'Raw Data'!$I$2:$I$41),0)</f>
        <v>9771</v>
      </c>
      <c r="E42" s="4" t="n">
        <f aca="false">IFERROR(AVERAGEIF('Raw Data'!$F$2:$F$41,A42,'Raw Data'!$O$2:$O$41),0)</f>
        <v>364.5</v>
      </c>
      <c r="F42" s="5" t="n">
        <f aca="false">IFERROR(AVERAGEIF('Raw Data'!$F$2:$F$41,A42,'Raw Data'!$P$2:$P$41),0)</f>
        <v>0.0634677232215112</v>
      </c>
      <c r="G42" s="5" t="n">
        <f aca="false">IFERROR(AVERAGEIF('Raw Data'!$F$2:$F$41,A42,'Raw Data'!$Q$2:$Q$41),0)</f>
        <v>0.0179728883553859</v>
      </c>
      <c r="H42" s="4" t="n">
        <f aca="false">IFERROR(AVERAGEIF('Raw Data'!$F$2:$F$41,A42,'Raw Data'!$M$2:$M$41),0)</f>
        <v>47.25</v>
      </c>
    </row>
    <row r="43" customFormat="false" ht="15" hidden="false" customHeight="false" outlineLevel="0" collapsed="false">
      <c r="A43" s="6" t="s">
        <v>43</v>
      </c>
      <c r="B43" s="6" t="n">
        <f aca="false">COUNTIF('Raw Data'!$F$2:$F$41,A43)</f>
        <v>2</v>
      </c>
      <c r="C43" s="4" t="n">
        <f aca="false">IFERROR(AVERAGEIF('Raw Data'!$F$2:$F$41,A43,'Raw Data'!$H$2:$H$41),0)</f>
        <v>5586</v>
      </c>
      <c r="D43" s="4" t="n">
        <f aca="false">IFERROR(AVERAGEIF('Raw Data'!$F$2:$F$41,A43,'Raw Data'!$I$2:$I$41),0)</f>
        <v>9881</v>
      </c>
      <c r="E43" s="4" t="n">
        <f aca="false">IFERROR(AVERAGEIF('Raw Data'!$F$2:$F$41,A43,'Raw Data'!$O$2:$O$41),0)</f>
        <v>458</v>
      </c>
      <c r="F43" s="5" t="n">
        <f aca="false">IFERROR(AVERAGEIF('Raw Data'!$F$2:$F$41,A43,'Raw Data'!$P$2:$P$41),0)</f>
        <v>0.0719017942047893</v>
      </c>
      <c r="G43" s="5" t="n">
        <f aca="false">IFERROR(AVERAGEIF('Raw Data'!$F$2:$F$41,A43,'Raw Data'!$Q$2:$Q$41),0)</f>
        <v>0.0128674835604568</v>
      </c>
      <c r="H43" s="4" t="n">
        <f aca="false">IFERROR(AVERAGEIF('Raw Data'!$F$2:$F$41,A43,'Raw Data'!$M$2:$M$41),0)</f>
        <v>42.5</v>
      </c>
    </row>
    <row r="44" customFormat="false" ht="15" hidden="false" customHeight="false" outlineLevel="0" collapsed="false">
      <c r="A44" s="6" t="s">
        <v>80</v>
      </c>
      <c r="B44" s="6" t="n">
        <f aca="false">COUNTIF('Raw Data'!$F$2:$F$41,A44)</f>
        <v>3</v>
      </c>
      <c r="C44" s="4" t="n">
        <f aca="false">IFERROR(AVERAGEIF('Raw Data'!$F$2:$F$41,A44,'Raw Data'!$H$2:$H$41),0)</f>
        <v>5215</v>
      </c>
      <c r="D44" s="4" t="n">
        <f aca="false">IFERROR(AVERAGEIF('Raw Data'!$F$2:$F$41,A44,'Raw Data'!$I$2:$I$41),0)</f>
        <v>8856.66666666667</v>
      </c>
      <c r="E44" s="4" t="n">
        <f aca="false">IFERROR(AVERAGEIF('Raw Data'!$F$2:$F$41,A44,'Raw Data'!$O$2:$O$41),0)</f>
        <v>276</v>
      </c>
      <c r="F44" s="5" t="n">
        <f aca="false">IFERROR(AVERAGEIF('Raw Data'!$F$2:$F$41,A44,'Raw Data'!$P$2:$P$41),0)</f>
        <v>0.0456390708666475</v>
      </c>
      <c r="G44" s="5" t="n">
        <f aca="false">IFERROR(AVERAGEIF('Raw Data'!$F$2:$F$41,A44,'Raw Data'!$Q$2:$Q$41),0)</f>
        <v>0.0197020406366731</v>
      </c>
      <c r="H44" s="4" t="n">
        <f aca="false">IFERROR(AVERAGEIF('Raw Data'!$F$2:$F$41,A44,'Raw Data'!$M$2:$M$41),0)</f>
        <v>26.3333333333333</v>
      </c>
    </row>
    <row r="45" customFormat="false" ht="15" hidden="false" customHeight="false" outlineLevel="0" collapsed="false">
      <c r="A45" s="6" t="s">
        <v>29</v>
      </c>
      <c r="B45" s="6" t="n">
        <f aca="false">COUNTIF('Raw Data'!$F$2:$F$41,A45)</f>
        <v>5</v>
      </c>
      <c r="C45" s="4" t="n">
        <f aca="false">IFERROR(AVERAGEIF('Raw Data'!$F$2:$F$41,A45,'Raw Data'!$H$2:$H$41),0)</f>
        <v>7559.4</v>
      </c>
      <c r="D45" s="4" t="n">
        <f aca="false">IFERROR(AVERAGEIF('Raw Data'!$F$2:$F$41,A45,'Raw Data'!$I$2:$I$41),0)</f>
        <v>11453.8</v>
      </c>
      <c r="E45" s="4" t="n">
        <f aca="false">IFERROR(AVERAGEIF('Raw Data'!$F$2:$F$41,A45,'Raw Data'!$O$2:$O$41),0)</f>
        <v>875.6</v>
      </c>
      <c r="F45" s="5" t="n">
        <f aca="false">IFERROR(AVERAGEIF('Raw Data'!$F$2:$F$41,A45,'Raw Data'!$P$2:$P$41),0)</f>
        <v>0.109439432307575</v>
      </c>
      <c r="G45" s="5" t="n">
        <f aca="false">IFERROR(AVERAGEIF('Raw Data'!$F$2:$F$41,A45,'Raw Data'!$Q$2:$Q$41),0)</f>
        <v>0.0180518439874849</v>
      </c>
      <c r="H45" s="4" t="n">
        <f aca="false">IFERROR(AVERAGEIF('Raw Data'!$F$2:$F$41,A45,'Raw Data'!$M$2:$M$41),0)</f>
        <v>104.2</v>
      </c>
    </row>
    <row r="46" customFormat="false" ht="15" hidden="false" customHeight="false" outlineLevel="0" collapsed="false">
      <c r="A46" s="6" t="s">
        <v>53</v>
      </c>
      <c r="B46" s="6" t="n">
        <f aca="false">COUNTIF('Raw Data'!$F$2:$F$41,A46)</f>
        <v>4</v>
      </c>
      <c r="C46" s="4" t="n">
        <f aca="false">IFERROR(AVERAGEIF('Raw Data'!$F$2:$F$41,A46,'Raw Data'!$H$2:$H$41),0)</f>
        <v>8800.75</v>
      </c>
      <c r="D46" s="4" t="n">
        <f aca="false">IFERROR(AVERAGEIF('Raw Data'!$F$2:$F$41,A46,'Raw Data'!$I$2:$I$41),0)</f>
        <v>13341.25</v>
      </c>
      <c r="E46" s="4" t="n">
        <f aca="false">IFERROR(AVERAGEIF('Raw Data'!$F$2:$F$41,A46,'Raw Data'!$O$2:$O$41),0)</f>
        <v>564.5</v>
      </c>
      <c r="F46" s="5" t="n">
        <f aca="false">IFERROR(AVERAGEIF('Raw Data'!$F$2:$F$41,A46,'Raw Data'!$P$2:$P$41),0)</f>
        <v>0.0461874599555482</v>
      </c>
      <c r="G46" s="5" t="n">
        <f aca="false">IFERROR(AVERAGEIF('Raw Data'!$F$2:$F$41,A46,'Raw Data'!$Q$2:$Q$41),0)</f>
        <v>0.021807099859565</v>
      </c>
      <c r="H46" s="4" t="n">
        <f aca="false">IFERROR(AVERAGEIF('Raw Data'!$F$2:$F$41,A46,'Raw Data'!$M$2:$M$41),0)</f>
        <v>59.75</v>
      </c>
    </row>
    <row r="47" customFormat="false" ht="15" hidden="false" customHeight="false" outlineLevel="0" collapsed="false">
      <c r="A47" s="6" t="s">
        <v>23</v>
      </c>
      <c r="B47" s="6" t="n">
        <f aca="false">COUNTIF('Raw Data'!$F$2:$F$41,A47)</f>
        <v>10</v>
      </c>
      <c r="C47" s="4" t="n">
        <f aca="false">IFERROR(AVERAGEIF('Raw Data'!$F$2:$F$41,A47,'Raw Data'!$H$2:$H$41),0)</f>
        <v>7138.5</v>
      </c>
      <c r="D47" s="4" t="n">
        <f aca="false">IFERROR(AVERAGEIF('Raw Data'!$F$2:$F$41,A47,'Raw Data'!$I$2:$I$41),0)</f>
        <v>11431.9</v>
      </c>
      <c r="E47" s="4" t="n">
        <f aca="false">IFERROR(AVERAGEIF('Raw Data'!$F$2:$F$41,A47,'Raw Data'!$O$2:$O$41),0)</f>
        <v>410.4</v>
      </c>
      <c r="F47" s="5" t="n">
        <f aca="false">IFERROR(AVERAGEIF('Raw Data'!$F$2:$F$41,A47,'Raw Data'!$P$2:$P$41),0)</f>
        <v>0.0533630006676906</v>
      </c>
      <c r="G47" s="5" t="n">
        <f aca="false">IFERROR(AVERAGEIF('Raw Data'!$F$2:$F$41,A47,'Raw Data'!$Q$2:$Q$41),0)</f>
        <v>0.026494968768335</v>
      </c>
      <c r="H47" s="4" t="n">
        <f aca="false">IFERROR(AVERAGEIF('Raw Data'!$F$2:$F$41,A47,'Raw Data'!$M$2:$M$41),0)</f>
        <v>40.2</v>
      </c>
    </row>
    <row r="48" customFormat="false" ht="15" hidden="false" customHeight="false" outlineLevel="0" collapsed="false">
      <c r="A48" s="6" t="s">
        <v>47</v>
      </c>
      <c r="B48" s="6" t="n">
        <f aca="false">COUNTIF('Raw Data'!$F$2:$F$41,A48)</f>
        <v>5</v>
      </c>
      <c r="C48" s="4" t="n">
        <f aca="false">IFERROR(AVERAGEIF('Raw Data'!$F$2:$F$41,A48,'Raw Data'!$H$2:$H$41),0)</f>
        <v>3347.4</v>
      </c>
      <c r="D48" s="4" t="n">
        <f aca="false">IFERROR(AVERAGEIF('Raw Data'!$F$2:$F$41,A48,'Raw Data'!$I$2:$I$41),0)</f>
        <v>5085.2</v>
      </c>
      <c r="E48" s="4" t="n">
        <f aca="false">IFERROR(AVERAGEIF('Raw Data'!$F$2:$F$41,A48,'Raw Data'!$O$2:$O$41),0)</f>
        <v>110.6</v>
      </c>
      <c r="F48" s="5" t="n">
        <f aca="false">IFERROR(AVERAGEIF('Raw Data'!$F$2:$F$41,A48,'Raw Data'!$P$2:$P$41),0)</f>
        <v>0.0304527177321927</v>
      </c>
      <c r="G48" s="5" t="n">
        <f aca="false">IFERROR(AVERAGEIF('Raw Data'!$F$2:$F$41,A48,'Raw Data'!$Q$2:$Q$41),0)</f>
        <v>0.0179536081753112</v>
      </c>
      <c r="H48" s="4" t="n">
        <f aca="false">IFERROR(AVERAGEIF('Raw Data'!$F$2:$F$41,A48,'Raw Data'!$M$2:$M$41),0)</f>
        <v>8.2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16.15" hidden="false" customHeight="false" outlineLevel="0" collapsed="false">
      <c r="A1" s="14" t="s">
        <v>149</v>
      </c>
    </row>
    <row r="3" customFormat="false" ht="15" hidden="false" customHeight="false" outlineLevel="0" collapsed="false">
      <c r="A3" s="15" t="s">
        <v>150</v>
      </c>
    </row>
    <row r="4" customFormat="false" ht="26.85" hidden="false" customHeight="false" outlineLevel="0" collapsed="false">
      <c r="A4" s="1" t="s">
        <v>151</v>
      </c>
      <c r="B4" s="1" t="s">
        <v>0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152</v>
      </c>
      <c r="I4" s="1" t="s">
        <v>153</v>
      </c>
      <c r="J4" s="1" t="s">
        <v>16</v>
      </c>
    </row>
    <row r="5" customFormat="false" ht="15" hidden="false" customHeight="false" outlineLevel="0" collapsed="false">
      <c r="A5" s="6" t="n">
        <v>1</v>
      </c>
      <c r="B5" s="6" t="str">
        <f aca="false">INDEX('Raw Data'!$A$2:$A$41,MATCH($A5,'Raw Data'!$R$2:$R$41,0))</f>
        <v>P004</v>
      </c>
      <c r="C5" s="6" t="str">
        <f aca="false">INDEX('Raw Data'!$D$2:$D$41,MATCH($A5,'Raw Data'!$R$2:$R$41,0))</f>
        <v>Instagram</v>
      </c>
      <c r="D5" s="6" t="str">
        <f aca="false">INDEX('Raw Data'!$E$2:$E$41,MATCH($A5,'Raw Data'!$R$2:$R$41,0))</f>
        <v>Carousel</v>
      </c>
      <c r="E5" s="6" t="str">
        <f aca="false">INDEX('Raw Data'!$F$2:$F$41,MATCH($A5,'Raw Data'!$R$2:$R$41,0))</f>
        <v>Meme/Trend</v>
      </c>
      <c r="F5" s="6" t="str">
        <f aca="false">INDEX('Raw Data'!$G$2:$G$41,MATCH($A5,'Raw Data'!$R$2:$R$41,0))</f>
        <v>Evening (6-9 PM)</v>
      </c>
      <c r="G5" s="4" t="n">
        <f aca="false">INDEX('Raw Data'!$H$2:$H$41,MATCH($A5,'Raw Data'!$R$2:$R$41,0))</f>
        <v>12168</v>
      </c>
      <c r="H5" s="4" t="n">
        <f aca="false">INDEX('Raw Data'!$O$2:$O$41,MATCH($A5,'Raw Data'!$R$2:$R$41,0))</f>
        <v>1657</v>
      </c>
      <c r="I5" s="5" t="n">
        <f aca="false">INDEX('Raw Data'!$P$2:$P$41,MATCH($A5,'Raw Data'!$R$2:$R$41,0))</f>
        <v>0.136176857330703</v>
      </c>
      <c r="J5" s="5" t="n">
        <f aca="false">INDEX('Raw Data'!$Q$2:$Q$41,MATCH($A5,'Raw Data'!$R$2:$R$41,0))</f>
        <v>0.00910596026490066</v>
      </c>
    </row>
    <row r="6" customFormat="false" ht="15" hidden="false" customHeight="false" outlineLevel="0" collapsed="false">
      <c r="A6" s="6" t="n">
        <v>2</v>
      </c>
      <c r="B6" s="6" t="str">
        <f aca="false">INDEX('Raw Data'!$A$2:$A$41,MATCH($A6,'Raw Data'!$R$2:$R$41,0))</f>
        <v>P030</v>
      </c>
      <c r="C6" s="6" t="str">
        <f aca="false">INDEX('Raw Data'!$D$2:$D$41,MATCH($A6,'Raw Data'!$R$2:$R$41,0))</f>
        <v>Twitter/X</v>
      </c>
      <c r="D6" s="6" t="str">
        <f aca="false">INDEX('Raw Data'!$E$2:$E$41,MATCH($A6,'Raw Data'!$R$2:$R$41,0))</f>
        <v>Reel/Video</v>
      </c>
      <c r="E6" s="6" t="str">
        <f aca="false">INDEX('Raw Data'!$F$2:$F$41,MATCH($A6,'Raw Data'!$R$2:$R$41,0))</f>
        <v>Meme/Trend</v>
      </c>
      <c r="F6" s="6" t="str">
        <f aca="false">INDEX('Raw Data'!$G$2:$G$41,MATCH($A6,'Raw Data'!$R$2:$R$41,0))</f>
        <v>Evening (6-9 PM)</v>
      </c>
      <c r="G6" s="4" t="n">
        <f aca="false">INDEX('Raw Data'!$H$2:$H$41,MATCH($A6,'Raw Data'!$R$2:$R$41,0))</f>
        <v>9143</v>
      </c>
      <c r="H6" s="4" t="n">
        <f aca="false">INDEX('Raw Data'!$O$2:$O$41,MATCH($A6,'Raw Data'!$R$2:$R$41,0))</f>
        <v>1170</v>
      </c>
      <c r="I6" s="5" t="n">
        <f aca="false">INDEX('Raw Data'!$P$2:$P$41,MATCH($A6,'Raw Data'!$R$2:$R$41,0))</f>
        <v>0.127966750519523</v>
      </c>
      <c r="J6" s="5" t="n">
        <f aca="false">INDEX('Raw Data'!$Q$2:$Q$41,MATCH($A6,'Raw Data'!$R$2:$R$41,0))</f>
        <v>0.0167143034671306</v>
      </c>
    </row>
    <row r="7" customFormat="false" ht="15" hidden="false" customHeight="false" outlineLevel="0" collapsed="false">
      <c r="A7" s="6" t="n">
        <v>3</v>
      </c>
      <c r="B7" s="6" t="str">
        <f aca="false">INDEX('Raw Data'!$A$2:$A$41,MATCH($A7,'Raw Data'!$R$2:$R$41,0))</f>
        <v>P039</v>
      </c>
      <c r="C7" s="6" t="str">
        <f aca="false">INDEX('Raw Data'!$D$2:$D$41,MATCH($A7,'Raw Data'!$R$2:$R$41,0))</f>
        <v>Facebook</v>
      </c>
      <c r="D7" s="6" t="str">
        <f aca="false">INDEX('Raw Data'!$E$2:$E$41,MATCH($A7,'Raw Data'!$R$2:$R$41,0))</f>
        <v>Reel/Video</v>
      </c>
      <c r="E7" s="6" t="str">
        <f aca="false">INDEX('Raw Data'!$F$2:$F$41,MATCH($A7,'Raw Data'!$R$2:$R$41,0))</f>
        <v>Behind the Scenes</v>
      </c>
      <c r="F7" s="6" t="str">
        <f aca="false">INDEX('Raw Data'!$G$2:$G$41,MATCH($A7,'Raw Data'!$R$2:$R$41,0))</f>
        <v>Evening (6-9 PM)</v>
      </c>
      <c r="G7" s="4" t="n">
        <f aca="false">INDEX('Raw Data'!$H$2:$H$41,MATCH($A7,'Raw Data'!$R$2:$R$41,0))</f>
        <v>10845</v>
      </c>
      <c r="H7" s="4" t="n">
        <f aca="false">INDEX('Raw Data'!$O$2:$O$41,MATCH($A7,'Raw Data'!$R$2:$R$41,0))</f>
        <v>1157</v>
      </c>
      <c r="I7" s="5" t="n">
        <f aca="false">INDEX('Raw Data'!$P$2:$P$41,MATCH($A7,'Raw Data'!$R$2:$R$41,0))</f>
        <v>0.106685108344859</v>
      </c>
      <c r="J7" s="5" t="n">
        <f aca="false">INDEX('Raw Data'!$Q$2:$Q$41,MATCH($A7,'Raw Data'!$R$2:$R$41,0))</f>
        <v>0.020011967289409</v>
      </c>
    </row>
    <row r="8" customFormat="false" ht="15" hidden="false" customHeight="false" outlineLevel="0" collapsed="false">
      <c r="A8" s="6" t="n">
        <v>4</v>
      </c>
      <c r="B8" s="6" t="str">
        <f aca="false">INDEX('Raw Data'!$A$2:$A$41,MATCH($A8,'Raw Data'!$R$2:$R$41,0))</f>
        <v>P002</v>
      </c>
      <c r="C8" s="6" t="str">
        <f aca="false">INDEX('Raw Data'!$D$2:$D$41,MATCH($A8,'Raw Data'!$R$2:$R$41,0))</f>
        <v>LinkedIn</v>
      </c>
      <c r="D8" s="6" t="str">
        <f aca="false">INDEX('Raw Data'!$E$2:$E$41,MATCH($A8,'Raw Data'!$R$2:$R$41,0))</f>
        <v>Reel/Video</v>
      </c>
      <c r="E8" s="6" t="str">
        <f aca="false">INDEX('Raw Data'!$F$2:$F$41,MATCH($A8,'Raw Data'!$R$2:$R$41,0))</f>
        <v>Meme/Trend</v>
      </c>
      <c r="F8" s="6" t="str">
        <f aca="false">INDEX('Raw Data'!$G$2:$G$41,MATCH($A8,'Raw Data'!$R$2:$R$41,0))</f>
        <v>Morning (9-11 AM)</v>
      </c>
      <c r="G8" s="4" t="n">
        <f aca="false">INDEX('Raw Data'!$H$2:$H$41,MATCH($A8,'Raw Data'!$R$2:$R$41,0))</f>
        <v>4134</v>
      </c>
      <c r="H8" s="4" t="n">
        <f aca="false">INDEX('Raw Data'!$O$2:$O$41,MATCH($A8,'Raw Data'!$R$2:$R$41,0))</f>
        <v>410</v>
      </c>
      <c r="I8" s="5" t="n">
        <f aca="false">INDEX('Raw Data'!$P$2:$P$41,MATCH($A8,'Raw Data'!$R$2:$R$41,0))</f>
        <v>0.0991775520077407</v>
      </c>
      <c r="J8" s="5" t="n">
        <f aca="false">INDEX('Raw Data'!$Q$2:$Q$41,MATCH($A8,'Raw Data'!$R$2:$R$41,0))</f>
        <v>0.0178974804517811</v>
      </c>
    </row>
    <row r="9" customFormat="false" ht="15" hidden="false" customHeight="false" outlineLevel="0" collapsed="false">
      <c r="A9" s="6" t="n">
        <v>5</v>
      </c>
      <c r="B9" s="6" t="str">
        <f aca="false">INDEX('Raw Data'!$A$2:$A$41,MATCH($A9,'Raw Data'!$R$2:$R$41,0))</f>
        <v>P005</v>
      </c>
      <c r="C9" s="6" t="str">
        <f aca="false">INDEX('Raw Data'!$D$2:$D$41,MATCH($A9,'Raw Data'!$R$2:$R$41,0))</f>
        <v>Twitter/X</v>
      </c>
      <c r="D9" s="6" t="str">
        <f aca="false">INDEX('Raw Data'!$E$2:$E$41,MATCH($A9,'Raw Data'!$R$2:$R$41,0))</f>
        <v>Reel/Video</v>
      </c>
      <c r="E9" s="6" t="str">
        <f aca="false">INDEX('Raw Data'!$F$2:$F$41,MATCH($A9,'Raw Data'!$R$2:$R$41,0))</f>
        <v>Festival Greeting</v>
      </c>
      <c r="F9" s="6" t="str">
        <f aca="false">INDEX('Raw Data'!$G$2:$G$41,MATCH($A9,'Raw Data'!$R$2:$R$41,0))</f>
        <v>Evening (6-9 PM)</v>
      </c>
      <c r="G9" s="4" t="n">
        <f aca="false">INDEX('Raw Data'!$H$2:$H$41,MATCH($A9,'Raw Data'!$R$2:$R$41,0))</f>
        <v>7733</v>
      </c>
      <c r="H9" s="4" t="n">
        <f aca="false">INDEX('Raw Data'!$O$2:$O$41,MATCH($A9,'Raw Data'!$R$2:$R$41,0))</f>
        <v>759</v>
      </c>
      <c r="I9" s="5" t="n">
        <f aca="false">INDEX('Raw Data'!$P$2:$P$41,MATCH($A9,'Raw Data'!$R$2:$R$41,0))</f>
        <v>0.0981507823613087</v>
      </c>
      <c r="J9" s="5" t="n">
        <f aca="false">INDEX('Raw Data'!$Q$2:$Q$41,MATCH($A9,'Raw Data'!$R$2:$R$41,0))</f>
        <v>0.015302776360854</v>
      </c>
    </row>
    <row r="11" customFormat="false" ht="15" hidden="false" customHeight="false" outlineLevel="0" collapsed="false">
      <c r="A11" s="16" t="s">
        <v>154</v>
      </c>
      <c r="B11" s="16" t="n">
        <f aca="false">COUNT('Raw Data'!P2:P41)</f>
        <v>40</v>
      </c>
    </row>
    <row r="13" customFormat="false" ht="15" hidden="false" customHeight="false" outlineLevel="0" collapsed="false">
      <c r="A13" s="17" t="s">
        <v>155</v>
      </c>
    </row>
    <row r="14" customFormat="false" ht="26.85" hidden="false" customHeight="false" outlineLevel="0" collapsed="false">
      <c r="A14" s="1" t="s">
        <v>151</v>
      </c>
      <c r="B14" s="1" t="s">
        <v>0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152</v>
      </c>
      <c r="I14" s="1" t="s">
        <v>153</v>
      </c>
      <c r="J14" s="1" t="s">
        <v>16</v>
      </c>
    </row>
    <row r="15" customFormat="false" ht="15" hidden="false" customHeight="false" outlineLevel="0" collapsed="false">
      <c r="A15" s="6" t="n">
        <f aca="false">$B$11-0</f>
        <v>40</v>
      </c>
      <c r="B15" s="6" t="str">
        <f aca="false">INDEX('Raw Data'!$A$2:$A$41,MATCH($A15,'Raw Data'!$R$2:$R$41,0))</f>
        <v>P040</v>
      </c>
      <c r="C15" s="6" t="str">
        <f aca="false">INDEX('Raw Data'!$D$2:$D$41,MATCH($A15,'Raw Data'!$R$2:$R$41,0))</f>
        <v>LinkedIn</v>
      </c>
      <c r="D15" s="6" t="str">
        <f aca="false">INDEX('Raw Data'!$E$2:$E$41,MATCH($A15,'Raw Data'!$R$2:$R$41,0))</f>
        <v>Text</v>
      </c>
      <c r="E15" s="6" t="str">
        <f aca="false">INDEX('Raw Data'!$F$2:$F$41,MATCH($A15,'Raw Data'!$R$2:$R$41,0))</f>
        <v>Offer/Discount</v>
      </c>
      <c r="F15" s="6" t="str">
        <f aca="false">INDEX('Raw Data'!$G$2:$G$41,MATCH($A15,'Raw Data'!$R$2:$R$41,0))</f>
        <v>Morning (9-11 AM)</v>
      </c>
      <c r="G15" s="4" t="n">
        <f aca="false">INDEX('Raw Data'!$H$2:$H$41,MATCH($A15,'Raw Data'!$R$2:$R$41,0))</f>
        <v>1631</v>
      </c>
      <c r="H15" s="4" t="n">
        <f aca="false">INDEX('Raw Data'!$O$2:$O$41,MATCH($A15,'Raw Data'!$R$2:$R$41,0))</f>
        <v>24</v>
      </c>
      <c r="I15" s="5" t="n">
        <f aca="false">INDEX('Raw Data'!$P$2:$P$41,MATCH($A15,'Raw Data'!$R$2:$R$41,0))</f>
        <v>0.0147148988350705</v>
      </c>
      <c r="J15" s="5" t="n">
        <f aca="false">INDEX('Raw Data'!$Q$2:$Q$41,MATCH($A15,'Raw Data'!$R$2:$R$41,0))</f>
        <v>0.0261359067149176</v>
      </c>
    </row>
    <row r="16" customFormat="false" ht="15" hidden="false" customHeight="false" outlineLevel="0" collapsed="false">
      <c r="A16" s="6" t="n">
        <f aca="false">$B$11-1</f>
        <v>39</v>
      </c>
      <c r="B16" s="6" t="str">
        <f aca="false">INDEX('Raw Data'!$A$2:$A$41,MATCH($A16,'Raw Data'!$R$2:$R$41,0))</f>
        <v>P008</v>
      </c>
      <c r="C16" s="6" t="str">
        <f aca="false">INDEX('Raw Data'!$D$2:$D$41,MATCH($A16,'Raw Data'!$R$2:$R$41,0))</f>
        <v>Instagram</v>
      </c>
      <c r="D16" s="6" t="str">
        <f aca="false">INDEX('Raw Data'!$E$2:$E$41,MATCH($A16,'Raw Data'!$R$2:$R$41,0))</f>
        <v>Text</v>
      </c>
      <c r="E16" s="6" t="str">
        <f aca="false">INDEX('Raw Data'!$F$2:$F$41,MATCH($A16,'Raw Data'!$R$2:$R$41,0))</f>
        <v>Offer/Discount</v>
      </c>
      <c r="F16" s="6" t="str">
        <f aca="false">INDEX('Raw Data'!$G$2:$G$41,MATCH($A16,'Raw Data'!$R$2:$R$41,0))</f>
        <v>Night (10 PM-12 AM)</v>
      </c>
      <c r="G16" s="4" t="n">
        <f aca="false">INDEX('Raw Data'!$H$2:$H$41,MATCH($A16,'Raw Data'!$R$2:$R$41,0))</f>
        <v>5839</v>
      </c>
      <c r="H16" s="4" t="n">
        <f aca="false">INDEX('Raw Data'!$O$2:$O$41,MATCH($A16,'Raw Data'!$R$2:$R$41,0))</f>
        <v>105</v>
      </c>
      <c r="I16" s="5" t="n">
        <f aca="false">INDEX('Raw Data'!$P$2:$P$41,MATCH($A16,'Raw Data'!$R$2:$R$41,0))</f>
        <v>0.0179825312553519</v>
      </c>
      <c r="J16" s="5" t="n">
        <f aca="false">INDEX('Raw Data'!$Q$2:$Q$41,MATCH($A16,'Raw Data'!$R$2:$R$41,0))</f>
        <v>0.0148566163768283</v>
      </c>
    </row>
    <row r="17" customFormat="false" ht="15" hidden="false" customHeight="false" outlineLevel="0" collapsed="false">
      <c r="A17" s="6" t="n">
        <f aca="false">$B$11-2</f>
        <v>38</v>
      </c>
      <c r="B17" s="6" t="str">
        <f aca="false">INDEX('Raw Data'!$A$2:$A$41,MATCH($A17,'Raw Data'!$R$2:$R$41,0))</f>
        <v>P031</v>
      </c>
      <c r="C17" s="6" t="str">
        <f aca="false">INDEX('Raw Data'!$D$2:$D$41,MATCH($A17,'Raw Data'!$R$2:$R$41,0))</f>
        <v>Facebook</v>
      </c>
      <c r="D17" s="6" t="str">
        <f aca="false">INDEX('Raw Data'!$E$2:$E$41,MATCH($A17,'Raw Data'!$R$2:$R$41,0))</f>
        <v>Text</v>
      </c>
      <c r="E17" s="6" t="str">
        <f aca="false">INDEX('Raw Data'!$F$2:$F$41,MATCH($A17,'Raw Data'!$R$2:$R$41,0))</f>
        <v>Behind the Scenes</v>
      </c>
      <c r="F17" s="6" t="str">
        <f aca="false">INDEX('Raw Data'!$G$2:$G$41,MATCH($A17,'Raw Data'!$R$2:$R$41,0))</f>
        <v>Afternoon (1-3 PM)</v>
      </c>
      <c r="G17" s="4" t="n">
        <f aca="false">INDEX('Raw Data'!$H$2:$H$41,MATCH($A17,'Raw Data'!$R$2:$R$41,0))</f>
        <v>2528</v>
      </c>
      <c r="H17" s="4" t="n">
        <f aca="false">INDEX('Raw Data'!$O$2:$O$41,MATCH($A17,'Raw Data'!$R$2:$R$41,0))</f>
        <v>46</v>
      </c>
      <c r="I17" s="5" t="n">
        <f aca="false">INDEX('Raw Data'!$P$2:$P$41,MATCH($A17,'Raw Data'!$R$2:$R$41,0))</f>
        <v>0.0181962025316456</v>
      </c>
      <c r="J17" s="5" t="n">
        <f aca="false">INDEX('Raw Data'!$Q$2:$Q$41,MATCH($A17,'Raw Data'!$R$2:$R$41,0))</f>
        <v>0.0183119343296148</v>
      </c>
    </row>
    <row r="18" customFormat="false" ht="15" hidden="false" customHeight="false" outlineLevel="0" collapsed="false">
      <c r="A18" s="6" t="n">
        <f aca="false">$B$11-3</f>
        <v>37</v>
      </c>
      <c r="B18" s="6" t="str">
        <f aca="false">INDEX('Raw Data'!$A$2:$A$41,MATCH($A18,'Raw Data'!$R$2:$R$41,0))</f>
        <v>P013</v>
      </c>
      <c r="C18" s="6" t="str">
        <f aca="false">INDEX('Raw Data'!$D$2:$D$41,MATCH($A18,'Raw Data'!$R$2:$R$41,0))</f>
        <v>Twitter/X</v>
      </c>
      <c r="D18" s="6" t="str">
        <f aca="false">INDEX('Raw Data'!$E$2:$E$41,MATCH($A18,'Raw Data'!$R$2:$R$41,0))</f>
        <v>Text</v>
      </c>
      <c r="E18" s="6" t="str">
        <f aca="false">INDEX('Raw Data'!$F$2:$F$41,MATCH($A18,'Raw Data'!$R$2:$R$41,0))</f>
        <v>Tips &amp; Tutorial</v>
      </c>
      <c r="F18" s="6" t="str">
        <f aca="false">INDEX('Raw Data'!$G$2:$G$41,MATCH($A18,'Raw Data'!$R$2:$R$41,0))</f>
        <v>Morning (9-11 AM)</v>
      </c>
      <c r="G18" s="4" t="n">
        <f aca="false">INDEX('Raw Data'!$H$2:$H$41,MATCH($A18,'Raw Data'!$R$2:$R$41,0))</f>
        <v>2299</v>
      </c>
      <c r="H18" s="4" t="n">
        <f aca="false">INDEX('Raw Data'!$O$2:$O$41,MATCH($A18,'Raw Data'!$R$2:$R$41,0))</f>
        <v>46</v>
      </c>
      <c r="I18" s="5" t="n">
        <f aca="false">INDEX('Raw Data'!$P$2:$P$41,MATCH($A18,'Raw Data'!$R$2:$R$41,0))</f>
        <v>0.0200086994345368</v>
      </c>
      <c r="J18" s="5" t="n">
        <f aca="false">INDEX('Raw Data'!$Q$2:$Q$41,MATCH($A18,'Raw Data'!$R$2:$R$41,0))</f>
        <v>0.0164410058027079</v>
      </c>
    </row>
    <row r="19" customFormat="false" ht="15" hidden="false" customHeight="false" outlineLevel="0" collapsed="false">
      <c r="A19" s="6" t="n">
        <f aca="false">$B$11-4</f>
        <v>36</v>
      </c>
      <c r="B19" s="6" t="str">
        <f aca="false">INDEX('Raw Data'!$A$2:$A$41,MATCH($A19,'Raw Data'!$R$2:$R$41,0))</f>
        <v>P026</v>
      </c>
      <c r="C19" s="6" t="str">
        <f aca="false">INDEX('Raw Data'!$D$2:$D$41,MATCH($A19,'Raw Data'!$R$2:$R$41,0))</f>
        <v>LinkedIn</v>
      </c>
      <c r="D19" s="6" t="str">
        <f aca="false">INDEX('Raw Data'!$E$2:$E$41,MATCH($A19,'Raw Data'!$R$2:$R$41,0))</f>
        <v>Text</v>
      </c>
      <c r="E19" s="6" t="str">
        <f aca="false">INDEX('Raw Data'!$F$2:$F$41,MATCH($A19,'Raw Data'!$R$2:$R$41,0))</f>
        <v>Product Launch</v>
      </c>
      <c r="F19" s="6" t="str">
        <f aca="false">INDEX('Raw Data'!$G$2:$G$41,MATCH($A19,'Raw Data'!$R$2:$R$41,0))</f>
        <v>Morning (9-11 AM)</v>
      </c>
      <c r="G19" s="4" t="n">
        <f aca="false">INDEX('Raw Data'!$H$2:$H$41,MATCH($A19,'Raw Data'!$R$2:$R$41,0))</f>
        <v>1590</v>
      </c>
      <c r="H19" s="4" t="n">
        <f aca="false">INDEX('Raw Data'!$O$2:$O$41,MATCH($A19,'Raw Data'!$R$2:$R$41,0))</f>
        <v>34</v>
      </c>
      <c r="I19" s="5" t="n">
        <f aca="false">INDEX('Raw Data'!$P$2:$P$41,MATCH($A19,'Raw Data'!$R$2:$R$41,0))</f>
        <v>0.0213836477987421</v>
      </c>
      <c r="J19" s="5" t="n">
        <f aca="false">INDEX('Raw Data'!$Q$2:$Q$41,MATCH($A19,'Raw Data'!$R$2:$R$41,0))</f>
        <v>0.0284671532846715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4" t="s">
        <v>156</v>
      </c>
    </row>
    <row r="3" customFormat="false" ht="15" hidden="false" customHeight="false" outlineLevel="0" collapsed="false">
      <c r="A3" s="18" t="s">
        <v>157</v>
      </c>
    </row>
    <row r="4" customFormat="false" ht="15" hidden="false" customHeight="false" outlineLevel="0" collapsed="false">
      <c r="A4" s="18" t="s">
        <v>158</v>
      </c>
    </row>
    <row r="5" customFormat="false" ht="15" hidden="false" customHeight="false" outlineLevel="0" collapsed="false">
      <c r="A5" s="18" t="s">
        <v>159</v>
      </c>
    </row>
    <row r="6" customFormat="false" ht="15" hidden="false" customHeight="false" outlineLevel="0" collapsed="false">
      <c r="A6" s="18" t="s">
        <v>160</v>
      </c>
    </row>
    <row r="7" customFormat="false" ht="15" hidden="false" customHeight="false" outlineLevel="0" collapsed="false">
      <c r="A7" s="18" t="s">
        <v>161</v>
      </c>
    </row>
    <row r="8" customFormat="false" ht="15" hidden="false" customHeight="false" outlineLevel="0" collapsed="false">
      <c r="A8" s="18" t="s">
        <v>162</v>
      </c>
    </row>
    <row r="9" customFormat="false" ht="15" hidden="false" customHeight="false" outlineLevel="0" collapsed="false">
      <c r="A9" s="18"/>
    </row>
    <row r="10" customFormat="false" ht="15" hidden="false" customHeight="false" outlineLevel="0" collapsed="false">
      <c r="A10" s="13" t="s">
        <v>163</v>
      </c>
    </row>
    <row r="11" customFormat="false" ht="15" hidden="false" customHeight="false" outlineLevel="0" collapsed="false">
      <c r="A11" s="18" t="s">
        <v>164</v>
      </c>
    </row>
    <row r="12" customFormat="false" ht="15" hidden="false" customHeight="false" outlineLevel="0" collapsed="false">
      <c r="A12" s="18" t="s">
        <v>165</v>
      </c>
    </row>
    <row r="13" customFormat="false" ht="15" hidden="false" customHeight="false" outlineLevel="0" collapsed="false">
      <c r="A13" s="18" t="s">
        <v>166</v>
      </c>
    </row>
    <row r="14" customFormat="false" ht="15" hidden="false" customHeight="false" outlineLevel="0" collapsed="false">
      <c r="A14" s="18"/>
    </row>
    <row r="15" customFormat="false" ht="15" hidden="false" customHeight="false" outlineLevel="0" collapsed="false">
      <c r="A15" s="18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2026-10-24T15:37:43Z</dcterms:created>
  <dc:creator>openpyxl</dc:creator>
  <dc:description/>
  <dc:language>en-US</dc:language>
  <cp:lastModifiedBy/>
  <dcterms:modified xsi:type="dcterms:W3CDTF">2026-10-24T15:37:46Z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